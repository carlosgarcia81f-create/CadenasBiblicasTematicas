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732" documentId="8_{3B3D53F3-38FD-4322-88E2-8AF79EFFACD8}" xr6:coauthVersionLast="47" xr6:coauthVersionMax="47" xr10:uidLastSave="{033C91FB-A57A-4FA2-B698-5518F46FC6DF}"/>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6" i="1" l="1"/>
  <c r="A207" i="1"/>
  <c r="I208" i="1" s="1"/>
  <c r="A208" i="1"/>
  <c r="A209" i="1"/>
  <c r="A210" i="1"/>
  <c r="I211" i="1" s="1"/>
  <c r="A211" i="1"/>
  <c r="A212" i="1"/>
  <c r="H211" i="1" s="1"/>
  <c r="A213" i="1"/>
  <c r="H212" i="1" s="1"/>
  <c r="A199" i="1"/>
  <c r="H198" i="1" s="1"/>
  <c r="A200" i="1"/>
  <c r="H199" i="1" s="1"/>
  <c r="A201" i="1"/>
  <c r="A202" i="1"/>
  <c r="A203" i="1"/>
  <c r="H202" i="1" s="1"/>
  <c r="A204" i="1"/>
  <c r="A205" i="1"/>
  <c r="A156" i="1"/>
  <c r="H155" i="1" s="1"/>
  <c r="A157" i="1"/>
  <c r="H156" i="1" s="1"/>
  <c r="A158" i="1"/>
  <c r="H157" i="1" s="1"/>
  <c r="A159" i="1"/>
  <c r="A160" i="1"/>
  <c r="A161" i="1"/>
  <c r="A162" i="1"/>
  <c r="H161" i="1" s="1"/>
  <c r="A163" i="1"/>
  <c r="A164" i="1"/>
  <c r="H163" i="1" s="1"/>
  <c r="A165" i="1"/>
  <c r="H164" i="1" s="1"/>
  <c r="A166" i="1"/>
  <c r="H165" i="1" s="1"/>
  <c r="A167" i="1"/>
  <c r="H166" i="1" s="1"/>
  <c r="A168" i="1"/>
  <c r="H167" i="1" s="1"/>
  <c r="A169" i="1"/>
  <c r="H168" i="1" s="1"/>
  <c r="A170" i="1"/>
  <c r="H169" i="1" s="1"/>
  <c r="A171" i="1"/>
  <c r="A172" i="1"/>
  <c r="I173" i="1" s="1"/>
  <c r="A173" i="1"/>
  <c r="A174" i="1"/>
  <c r="H173" i="1" s="1"/>
  <c r="A175" i="1"/>
  <c r="H174" i="1" s="1"/>
  <c r="A176" i="1"/>
  <c r="H175" i="1" s="1"/>
  <c r="A177" i="1"/>
  <c r="H176" i="1" s="1"/>
  <c r="A178" i="1"/>
  <c r="H177" i="1" s="1"/>
  <c r="A179" i="1"/>
  <c r="H178" i="1" s="1"/>
  <c r="A180" i="1"/>
  <c r="H179" i="1" s="1"/>
  <c r="A181" i="1"/>
  <c r="H180" i="1" s="1"/>
  <c r="A182" i="1"/>
  <c r="H181" i="1" s="1"/>
  <c r="A183" i="1"/>
  <c r="A184" i="1"/>
  <c r="H183" i="1" s="1"/>
  <c r="A185" i="1"/>
  <c r="A186" i="1"/>
  <c r="A187" i="1"/>
  <c r="H186" i="1" s="1"/>
  <c r="A188" i="1"/>
  <c r="H187" i="1" s="1"/>
  <c r="A189" i="1"/>
  <c r="H188" i="1" s="1"/>
  <c r="A190" i="1"/>
  <c r="H189" i="1" s="1"/>
  <c r="A191" i="1"/>
  <c r="H190" i="1" s="1"/>
  <c r="A192" i="1"/>
  <c r="H191" i="1" s="1"/>
  <c r="A193" i="1"/>
  <c r="H192" i="1" s="1"/>
  <c r="A194" i="1"/>
  <c r="H193" i="1" s="1"/>
  <c r="A195" i="1"/>
  <c r="A196" i="1"/>
  <c r="A197" i="1"/>
  <c r="A198" i="1"/>
  <c r="I199" i="1" s="1"/>
  <c r="C40" i="2"/>
  <c r="A149" i="1"/>
  <c r="I150" i="1" s="1"/>
  <c r="A150" i="1"/>
  <c r="H149" i="1" s="1"/>
  <c r="A151" i="1"/>
  <c r="H150" i="1" s="1"/>
  <c r="A152" i="1"/>
  <c r="H151" i="1" s="1"/>
  <c r="A153" i="1"/>
  <c r="I154" i="1" s="1"/>
  <c r="A154" i="1"/>
  <c r="A155" i="1"/>
  <c r="I144" i="1"/>
  <c r="I145" i="1" s="1"/>
  <c r="I146" i="1" s="1"/>
  <c r="I147" i="1" s="1"/>
  <c r="I148" i="1" s="1"/>
  <c r="H143" i="1"/>
  <c r="H144" i="1" s="1"/>
  <c r="H145" i="1" s="1"/>
  <c r="H146" i="1" s="1"/>
  <c r="H147" i="1" s="1"/>
  <c r="H148" i="1" s="1"/>
  <c r="A143" i="1"/>
  <c r="A144" i="1"/>
  <c r="A145" i="1"/>
  <c r="A146" i="1"/>
  <c r="A147" i="1"/>
  <c r="A148" i="1"/>
  <c r="A113" i="1"/>
  <c r="H112" i="1" s="1"/>
  <c r="A114" i="1"/>
  <c r="H113" i="1" s="1"/>
  <c r="A115" i="1"/>
  <c r="H114" i="1" s="1"/>
  <c r="A116" i="1"/>
  <c r="I117" i="1" s="1"/>
  <c r="A117" i="1"/>
  <c r="H116" i="1" s="1"/>
  <c r="A118" i="1"/>
  <c r="I119" i="1" s="1"/>
  <c r="A119" i="1"/>
  <c r="H118" i="1" s="1"/>
  <c r="A120" i="1"/>
  <c r="I121" i="1" s="1"/>
  <c r="A121" i="1"/>
  <c r="H120" i="1" s="1"/>
  <c r="I116" i="1"/>
  <c r="I118" i="1"/>
  <c r="H115" i="1"/>
  <c r="A68" i="1"/>
  <c r="A67" i="1"/>
  <c r="I68" i="1" s="1"/>
  <c r="A31" i="1"/>
  <c r="A32" i="1"/>
  <c r="A33" i="1"/>
  <c r="A34" i="1"/>
  <c r="A35" i="1"/>
  <c r="A36" i="1"/>
  <c r="A37" i="1"/>
  <c r="A38" i="1"/>
  <c r="A39" i="1"/>
  <c r="A40" i="1"/>
  <c r="A41" i="1"/>
  <c r="A42" i="1"/>
  <c r="A43" i="1"/>
  <c r="H42" i="1" s="1"/>
  <c r="A21" i="1"/>
  <c r="A22" i="1"/>
  <c r="A23" i="1"/>
  <c r="A24" i="1"/>
  <c r="A25" i="1"/>
  <c r="A26" i="1"/>
  <c r="A27" i="1"/>
  <c r="A28" i="1"/>
  <c r="A29" i="1"/>
  <c r="H29" i="1"/>
  <c r="A2" i="1"/>
  <c r="A3" i="1"/>
  <c r="A4" i="1"/>
  <c r="A5" i="1"/>
  <c r="A6" i="1"/>
  <c r="A7" i="1"/>
  <c r="A8" i="1"/>
  <c r="A9" i="1"/>
  <c r="A10" i="1"/>
  <c r="I11" i="1" s="1"/>
  <c r="A11" i="1"/>
  <c r="H10" i="1" s="1"/>
  <c r="A12" i="1"/>
  <c r="I13" i="1" s="1"/>
  <c r="A13" i="1"/>
  <c r="A14" i="1"/>
  <c r="I15" i="1" s="1"/>
  <c r="A15" i="1"/>
  <c r="I16" i="1" s="1"/>
  <c r="A16" i="1"/>
  <c r="A17" i="1"/>
  <c r="A18" i="1"/>
  <c r="H17" i="1" s="1"/>
  <c r="A19" i="1"/>
  <c r="H18" i="1" s="1"/>
  <c r="A20" i="1"/>
  <c r="I21" i="1" s="1"/>
  <c r="A30" i="1"/>
  <c r="A44" i="1"/>
  <c r="I45" i="1" s="1"/>
  <c r="A45" i="1"/>
  <c r="A46" i="1"/>
  <c r="A47" i="1"/>
  <c r="A48" i="1"/>
  <c r="A49" i="1"/>
  <c r="A50" i="1"/>
  <c r="A51" i="1"/>
  <c r="A52" i="1"/>
  <c r="A53" i="1"/>
  <c r="A54" i="1"/>
  <c r="A55" i="1"/>
  <c r="A56" i="1"/>
  <c r="A57" i="1"/>
  <c r="A58" i="1"/>
  <c r="A59" i="1"/>
  <c r="A60" i="1"/>
  <c r="A61" i="1"/>
  <c r="A62" i="1"/>
  <c r="A63" i="1"/>
  <c r="A64" i="1"/>
  <c r="A65" i="1"/>
  <c r="A66" i="1"/>
  <c r="H65" i="1" s="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H110" i="1" s="1"/>
  <c r="A112" i="1"/>
  <c r="I113" i="1" s="1"/>
  <c r="A122" i="1"/>
  <c r="I123" i="1" s="1"/>
  <c r="A123" i="1"/>
  <c r="A124" i="1"/>
  <c r="A125" i="1"/>
  <c r="A126" i="1"/>
  <c r="A127" i="1"/>
  <c r="A128" i="1"/>
  <c r="A129" i="1"/>
  <c r="A130" i="1"/>
  <c r="H129" i="1" s="1"/>
  <c r="A131" i="1"/>
  <c r="I132" i="1" s="1"/>
  <c r="A132" i="1"/>
  <c r="A133" i="1"/>
  <c r="A134" i="1"/>
  <c r="A135" i="1"/>
  <c r="A136" i="1"/>
  <c r="A137" i="1"/>
  <c r="A138" i="1"/>
  <c r="H137" i="1" s="1"/>
  <c r="A139" i="1"/>
  <c r="I140" i="1" s="1"/>
  <c r="A140" i="1"/>
  <c r="A141" i="1"/>
  <c r="H140" i="1" s="1"/>
  <c r="A142"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G214" i="1" a="1"/>
  <c r="G214" i="1" s="1"/>
  <c r="G215" i="1" a="1"/>
  <c r="G215" i="1" s="1"/>
  <c r="G216" i="1" a="1"/>
  <c r="G216" i="1" s="1"/>
  <c r="G217" i="1" a="1"/>
  <c r="G217" i="1" s="1"/>
  <c r="G218" i="1" a="1"/>
  <c r="G218" i="1" s="1"/>
  <c r="G219" i="1" a="1"/>
  <c r="G219" i="1" s="1"/>
  <c r="G220" i="1" a="1"/>
  <c r="G220" i="1" s="1"/>
  <c r="G221" i="1" a="1"/>
  <c r="G221" i="1" s="1"/>
  <c r="G222" i="1" a="1"/>
  <c r="G222" i="1" s="1"/>
  <c r="G223" i="1" a="1"/>
  <c r="G223" i="1" s="1"/>
  <c r="G224" i="1" a="1"/>
  <c r="G224" i="1" s="1"/>
  <c r="G225" i="1" a="1"/>
  <c r="G225" i="1" s="1"/>
  <c r="G226" i="1" a="1"/>
  <c r="G226" i="1" s="1"/>
  <c r="G227" i="1" a="1"/>
  <c r="G227" i="1" s="1"/>
  <c r="G228" i="1" a="1"/>
  <c r="G228" i="1" s="1"/>
  <c r="G229" i="1" a="1"/>
  <c r="G229" i="1" s="1"/>
  <c r="G230" i="1" a="1"/>
  <c r="G230" i="1" s="1"/>
  <c r="G231" i="1" a="1"/>
  <c r="G231" i="1" s="1"/>
  <c r="G232" i="1" a="1"/>
  <c r="G232" i="1" s="1"/>
  <c r="G233" i="1" a="1"/>
  <c r="G233" i="1" s="1"/>
  <c r="G234" i="1" a="1"/>
  <c r="G234" i="1" s="1"/>
  <c r="G235" i="1" a="1"/>
  <c r="G235" i="1" s="1"/>
  <c r="G236" i="1" a="1"/>
  <c r="G236" i="1" s="1"/>
  <c r="G237" i="1" a="1"/>
  <c r="G237" i="1" s="1"/>
  <c r="G238" i="1" a="1"/>
  <c r="G238" i="1" s="1"/>
  <c r="G239" i="1" a="1"/>
  <c r="G239" i="1" s="1"/>
  <c r="G240" i="1" a="1"/>
  <c r="G240" i="1" s="1"/>
  <c r="G241" i="1" a="1"/>
  <c r="G241" i="1" s="1"/>
  <c r="G242" i="1" a="1"/>
  <c r="G242" i="1" s="1"/>
  <c r="G243" i="1" a="1"/>
  <c r="G243" i="1" s="1"/>
  <c r="G244" i="1" a="1"/>
  <c r="G244" i="1" s="1"/>
  <c r="G245" i="1" a="1"/>
  <c r="G245" i="1" s="1"/>
  <c r="G246" i="1" a="1"/>
  <c r="G246" i="1" s="1"/>
  <c r="G247" i="1" a="1"/>
  <c r="G247" i="1" s="1"/>
  <c r="G248" i="1" a="1"/>
  <c r="G248" i="1" s="1"/>
  <c r="G249" i="1" a="1"/>
  <c r="G249" i="1" s="1"/>
  <c r="G250" i="1" a="1"/>
  <c r="G250" i="1" s="1"/>
  <c r="G251" i="1" a="1"/>
  <c r="G251" i="1" s="1"/>
  <c r="G252" i="1" a="1"/>
  <c r="G252" i="1" s="1"/>
  <c r="G253" i="1" a="1"/>
  <c r="G253" i="1" s="1"/>
  <c r="G254" i="1" a="1"/>
  <c r="G254" i="1" s="1"/>
  <c r="G255" i="1" a="1"/>
  <c r="G255" i="1" s="1"/>
  <c r="G256" i="1" a="1"/>
  <c r="G256" i="1" s="1"/>
  <c r="G257" i="1" a="1"/>
  <c r="G257" i="1" s="1"/>
  <c r="G258" i="1" a="1"/>
  <c r="G258" i="1" s="1"/>
  <c r="G259" i="1" a="1"/>
  <c r="G259" i="1" s="1"/>
  <c r="G260" i="1" a="1"/>
  <c r="G260" i="1" s="1"/>
  <c r="G261" i="1" a="1"/>
  <c r="G261" i="1" s="1"/>
  <c r="G262" i="1" a="1"/>
  <c r="G262" i="1" s="1"/>
  <c r="G263" i="1" a="1"/>
  <c r="G263" i="1" s="1"/>
  <c r="G264" i="1" a="1"/>
  <c r="G264" i="1" s="1"/>
  <c r="G265" i="1" a="1"/>
  <c r="G265" i="1" s="1"/>
  <c r="G266" i="1" a="1"/>
  <c r="G266" i="1" s="1"/>
  <c r="G267" i="1" a="1"/>
  <c r="G267" i="1" s="1"/>
  <c r="G268" i="1" a="1"/>
  <c r="G268" i="1" s="1"/>
  <c r="G269" i="1" a="1"/>
  <c r="G269" i="1" s="1"/>
  <c r="G270" i="1" a="1"/>
  <c r="G270" i="1" s="1"/>
  <c r="G271" i="1" a="1"/>
  <c r="G271" i="1" s="1"/>
  <c r="G272" i="1" a="1"/>
  <c r="G272" i="1" s="1"/>
  <c r="G273" i="1" a="1"/>
  <c r="G273" i="1" s="1"/>
  <c r="G274" i="1" a="1"/>
  <c r="G274" i="1" s="1"/>
  <c r="G275" i="1" a="1"/>
  <c r="G275" i="1" s="1"/>
  <c r="G276" i="1" a="1"/>
  <c r="G276" i="1" s="1"/>
  <c r="G277" i="1" a="1"/>
  <c r="G277" i="1" s="1"/>
  <c r="G278" i="1" a="1"/>
  <c r="G278" i="1" s="1"/>
  <c r="G279" i="1" a="1"/>
  <c r="G279" i="1" s="1"/>
  <c r="G280" i="1" a="1"/>
  <c r="G280" i="1" s="1"/>
  <c r="G281" i="1" a="1"/>
  <c r="G281" i="1" s="1"/>
  <c r="G282" i="1" a="1"/>
  <c r="G282" i="1" s="1"/>
  <c r="G283" i="1" a="1"/>
  <c r="G283" i="1" s="1"/>
  <c r="G284" i="1" a="1"/>
  <c r="G284" i="1" s="1"/>
  <c r="G285" i="1" a="1"/>
  <c r="G285" i="1" s="1"/>
  <c r="G286" i="1" a="1"/>
  <c r="G286" i="1" s="1"/>
  <c r="G287" i="1" a="1"/>
  <c r="G287" i="1" s="1"/>
  <c r="G288" i="1" a="1"/>
  <c r="G288" i="1" s="1"/>
  <c r="G289" i="1" a="1"/>
  <c r="G289" i="1" s="1"/>
  <c r="G290" i="1" a="1"/>
  <c r="G290" i="1" s="1"/>
  <c r="G291" i="1" a="1"/>
  <c r="G291" i="1" s="1"/>
  <c r="G292" i="1" a="1"/>
  <c r="G292" i="1" s="1"/>
  <c r="G293" i="1" a="1"/>
  <c r="G293" i="1" s="1"/>
  <c r="G294" i="1" a="1"/>
  <c r="G294" i="1" s="1"/>
  <c r="G295" i="1" a="1"/>
  <c r="G295" i="1" s="1"/>
  <c r="G296" i="1" a="1"/>
  <c r="G296" i="1" s="1"/>
  <c r="G297" i="1" a="1"/>
  <c r="G297" i="1" s="1"/>
  <c r="G298" i="1" a="1"/>
  <c r="G298" i="1" s="1"/>
  <c r="G299" i="1" a="1"/>
  <c r="G299" i="1" s="1"/>
  <c r="G300" i="1" a="1"/>
  <c r="G300" i="1" s="1"/>
  <c r="G301" i="1" a="1"/>
  <c r="G301" i="1" s="1"/>
  <c r="G302" i="1" a="1"/>
  <c r="G302" i="1" s="1"/>
  <c r="G303" i="1" a="1"/>
  <c r="G303" i="1" s="1"/>
  <c r="G304" i="1" a="1"/>
  <c r="G304" i="1" s="1"/>
  <c r="G305" i="1" a="1"/>
  <c r="G305" i="1" s="1"/>
  <c r="G306" i="1" a="1"/>
  <c r="G306" i="1" s="1"/>
  <c r="G307" i="1" a="1"/>
  <c r="G307" i="1" s="1"/>
  <c r="G308" i="1" a="1"/>
  <c r="G308" i="1" s="1"/>
  <c r="G309" i="1" a="1"/>
  <c r="G309" i="1" s="1"/>
  <c r="G310" i="1" a="1"/>
  <c r="G310" i="1" s="1"/>
  <c r="G311" i="1" a="1"/>
  <c r="G311" i="1" s="1"/>
  <c r="G312" i="1" a="1"/>
  <c r="G312" i="1" s="1"/>
  <c r="G313" i="1" a="1"/>
  <c r="G313" i="1" s="1"/>
  <c r="G314" i="1" a="1"/>
  <c r="G314" i="1" s="1"/>
  <c r="G315" i="1" a="1"/>
  <c r="G315" i="1" s="1"/>
  <c r="G316" i="1" a="1"/>
  <c r="G316" i="1" s="1"/>
  <c r="G317" i="1" a="1"/>
  <c r="G317" i="1" s="1"/>
  <c r="G318" i="1" a="1"/>
  <c r="G318" i="1" s="1"/>
  <c r="G319" i="1" a="1"/>
  <c r="G319" i="1" s="1"/>
  <c r="G320" i="1" a="1"/>
  <c r="G320" i="1" s="1"/>
  <c r="G321" i="1" a="1"/>
  <c r="G321" i="1" s="1"/>
  <c r="G322" i="1" a="1"/>
  <c r="G322" i="1" s="1"/>
  <c r="G323" i="1" a="1"/>
  <c r="G323" i="1" s="1"/>
  <c r="G324" i="1" a="1"/>
  <c r="G324" i="1" s="1"/>
  <c r="G325" i="1" a="1"/>
  <c r="G325" i="1" s="1"/>
  <c r="G326" i="1" a="1"/>
  <c r="G326" i="1" s="1"/>
  <c r="G327" i="1" a="1"/>
  <c r="G327" i="1" s="1"/>
  <c r="G328" i="1" a="1"/>
  <c r="G328" i="1" s="1"/>
  <c r="G329" i="1" a="1"/>
  <c r="G329" i="1" s="1"/>
  <c r="G330" i="1" a="1"/>
  <c r="G330" i="1" s="1"/>
  <c r="G331" i="1" a="1"/>
  <c r="G331" i="1" s="1"/>
  <c r="G332" i="1" a="1"/>
  <c r="G332" i="1" s="1"/>
  <c r="G333" i="1" a="1"/>
  <c r="G333" i="1" s="1"/>
  <c r="G334" i="1" a="1"/>
  <c r="G334" i="1" s="1"/>
  <c r="G335" i="1" a="1"/>
  <c r="G335" i="1" s="1"/>
  <c r="G336" i="1" a="1"/>
  <c r="G336" i="1" s="1"/>
  <c r="G337" i="1" a="1"/>
  <c r="G337" i="1" s="1"/>
  <c r="G338" i="1" a="1"/>
  <c r="G338" i="1" s="1"/>
  <c r="G339" i="1" a="1"/>
  <c r="G339" i="1" s="1"/>
  <c r="G340" i="1" a="1"/>
  <c r="G340" i="1" s="1"/>
  <c r="G341" i="1" a="1"/>
  <c r="G341" i="1" s="1"/>
  <c r="G342" i="1" a="1"/>
  <c r="G342" i="1" s="1"/>
  <c r="G343" i="1" a="1"/>
  <c r="G343" i="1" s="1"/>
  <c r="G344" i="1" a="1"/>
  <c r="G344" i="1" s="1"/>
  <c r="G345" i="1" a="1"/>
  <c r="G345" i="1" s="1"/>
  <c r="G346" i="1" a="1"/>
  <c r="G346" i="1" s="1"/>
  <c r="G347" i="1" a="1"/>
  <c r="G347" i="1" s="1"/>
  <c r="G348" i="1" a="1"/>
  <c r="G348" i="1" s="1"/>
  <c r="G349" i="1" a="1"/>
  <c r="G349" i="1" s="1"/>
  <c r="G350" i="1" a="1"/>
  <c r="G350" i="1" s="1"/>
  <c r="G351" i="1" a="1"/>
  <c r="G351" i="1" s="1"/>
  <c r="G352" i="1" a="1"/>
  <c r="G352" i="1" s="1"/>
  <c r="G353" i="1" a="1"/>
  <c r="G353" i="1" s="1"/>
  <c r="G354" i="1" a="1"/>
  <c r="G354" i="1" s="1"/>
  <c r="G355" i="1" a="1"/>
  <c r="G355" i="1" s="1"/>
  <c r="G356" i="1" a="1"/>
  <c r="G356" i="1" s="1"/>
  <c r="G357" i="1" a="1"/>
  <c r="G357" i="1" s="1"/>
  <c r="G358" i="1" a="1"/>
  <c r="G358" i="1" s="1"/>
  <c r="G359" i="1" a="1"/>
  <c r="G359" i="1" s="1"/>
  <c r="G360" i="1" a="1"/>
  <c r="G360" i="1" s="1"/>
  <c r="G361" i="1" a="1"/>
  <c r="G361" i="1" s="1"/>
  <c r="G362" i="1" a="1"/>
  <c r="G362" i="1" s="1"/>
  <c r="G363" i="1" a="1"/>
  <c r="G363" i="1" s="1"/>
  <c r="G364" i="1" a="1"/>
  <c r="G364" i="1" s="1"/>
  <c r="G365" i="1" a="1"/>
  <c r="G365" i="1" s="1"/>
  <c r="G366" i="1" a="1"/>
  <c r="G366" i="1" s="1"/>
  <c r="G367" i="1" a="1"/>
  <c r="G367" i="1" s="1"/>
  <c r="G368" i="1" a="1"/>
  <c r="G368" i="1" s="1"/>
  <c r="G369" i="1" a="1"/>
  <c r="G369" i="1" s="1"/>
  <c r="G370" i="1" a="1"/>
  <c r="G370" i="1" s="1"/>
  <c r="G371" i="1" a="1"/>
  <c r="G371" i="1" s="1"/>
  <c r="G372" i="1" a="1"/>
  <c r="G372" i="1" s="1"/>
  <c r="G373" i="1" a="1"/>
  <c r="G373" i="1" s="1"/>
  <c r="G374" i="1" a="1"/>
  <c r="G374" i="1" s="1"/>
  <c r="G375" i="1" a="1"/>
  <c r="G375" i="1" s="1"/>
  <c r="G376" i="1" a="1"/>
  <c r="G376" i="1" s="1"/>
  <c r="G377" i="1" a="1"/>
  <c r="G377" i="1" s="1"/>
  <c r="G378" i="1" a="1"/>
  <c r="G378" i="1" s="1"/>
  <c r="G379" i="1" a="1"/>
  <c r="G379" i="1" s="1"/>
  <c r="G380" i="1" a="1"/>
  <c r="G380" i="1" s="1"/>
  <c r="G381" i="1" a="1"/>
  <c r="G381" i="1" s="1"/>
  <c r="G382" i="1" a="1"/>
  <c r="G382" i="1" s="1"/>
  <c r="G383" i="1" a="1"/>
  <c r="G383" i="1" s="1"/>
  <c r="G384" i="1" a="1"/>
  <c r="G384" i="1" s="1"/>
  <c r="G385" i="1" a="1"/>
  <c r="G385" i="1" s="1"/>
  <c r="G386" i="1" a="1"/>
  <c r="G386" i="1" s="1"/>
  <c r="G387" i="1" a="1"/>
  <c r="G387" i="1" s="1"/>
  <c r="G388" i="1" a="1"/>
  <c r="G388" i="1" s="1"/>
  <c r="G389" i="1" a="1"/>
  <c r="G389" i="1" s="1"/>
  <c r="G390" i="1" a="1"/>
  <c r="G390" i="1" s="1"/>
  <c r="G391" i="1" a="1"/>
  <c r="G391" i="1" s="1"/>
  <c r="G392" i="1" a="1"/>
  <c r="G392" i="1" s="1"/>
  <c r="G393" i="1" a="1"/>
  <c r="G393" i="1" s="1"/>
  <c r="G394" i="1" a="1"/>
  <c r="G394" i="1" s="1"/>
  <c r="G395" i="1" a="1"/>
  <c r="G395" i="1" s="1"/>
  <c r="G396" i="1" a="1"/>
  <c r="G396" i="1" s="1"/>
  <c r="G397" i="1" a="1"/>
  <c r="G397" i="1" s="1"/>
  <c r="G398" i="1" a="1"/>
  <c r="G398" i="1" s="1"/>
  <c r="G399" i="1" a="1"/>
  <c r="G399" i="1" s="1"/>
  <c r="G400" i="1" a="1"/>
  <c r="G400" i="1" s="1"/>
  <c r="G401" i="1" a="1"/>
  <c r="G401" i="1" s="1"/>
  <c r="G402" i="1" a="1"/>
  <c r="G402" i="1" s="1"/>
  <c r="G403" i="1" a="1"/>
  <c r="G403" i="1" s="1"/>
  <c r="G404" i="1" a="1"/>
  <c r="G404" i="1" s="1"/>
  <c r="G405" i="1" a="1"/>
  <c r="G405" i="1" s="1"/>
  <c r="G406" i="1" a="1"/>
  <c r="G406" i="1" s="1"/>
  <c r="G407" i="1" a="1"/>
  <c r="G407" i="1" s="1"/>
  <c r="G408" i="1" a="1"/>
  <c r="G408" i="1" s="1"/>
  <c r="G409" i="1" a="1"/>
  <c r="G409" i="1" s="1"/>
  <c r="G410" i="1" a="1"/>
  <c r="G410" i="1" s="1"/>
  <c r="G411" i="1" a="1"/>
  <c r="G411" i="1" s="1"/>
  <c r="G412" i="1" a="1"/>
  <c r="G412" i="1" s="1"/>
  <c r="G413" i="1" a="1"/>
  <c r="G413" i="1" s="1"/>
  <c r="G414" i="1" a="1"/>
  <c r="G414" i="1" s="1"/>
  <c r="G415" i="1" a="1"/>
  <c r="G415" i="1" s="1"/>
  <c r="G416" i="1" a="1"/>
  <c r="G416" i="1" s="1"/>
  <c r="G417" i="1" a="1"/>
  <c r="G417" i="1" s="1"/>
  <c r="G418" i="1" a="1"/>
  <c r="G418" i="1" s="1"/>
  <c r="G419" i="1" a="1"/>
  <c r="G419" i="1" s="1"/>
  <c r="G420" i="1" a="1"/>
  <c r="G420" i="1" s="1"/>
  <c r="G421" i="1" a="1"/>
  <c r="G421" i="1" s="1"/>
  <c r="G422" i="1" a="1"/>
  <c r="G422" i="1" s="1"/>
  <c r="G423" i="1" a="1"/>
  <c r="G423" i="1" s="1"/>
  <c r="G424" i="1" a="1"/>
  <c r="G424" i="1" s="1"/>
  <c r="G425" i="1" a="1"/>
  <c r="G425" i="1" s="1"/>
  <c r="G426" i="1" a="1"/>
  <c r="G426" i="1" s="1"/>
  <c r="G427" i="1" a="1"/>
  <c r="G427" i="1" s="1"/>
  <c r="G428" i="1" a="1"/>
  <c r="G428" i="1" s="1"/>
  <c r="G429" i="1" a="1"/>
  <c r="G429" i="1" s="1"/>
  <c r="G430" i="1" a="1"/>
  <c r="G430" i="1" s="1"/>
  <c r="G431" i="1" a="1"/>
  <c r="G431" i="1" s="1"/>
  <c r="G432" i="1" a="1"/>
  <c r="G432" i="1" s="1"/>
  <c r="G433" i="1" a="1"/>
  <c r="G433" i="1" s="1"/>
  <c r="G434" i="1" a="1"/>
  <c r="G434" i="1" s="1"/>
  <c r="G435" i="1" a="1"/>
  <c r="G435" i="1" s="1"/>
  <c r="G436" i="1" a="1"/>
  <c r="G436" i="1" s="1"/>
  <c r="G437" i="1" a="1"/>
  <c r="G437" i="1" s="1"/>
  <c r="G438" i="1" a="1"/>
  <c r="G438" i="1" s="1"/>
  <c r="G439" i="1" a="1"/>
  <c r="G439" i="1" s="1"/>
  <c r="G440" i="1" a="1"/>
  <c r="G440" i="1" s="1"/>
  <c r="G441" i="1" a="1"/>
  <c r="G441" i="1" s="1"/>
  <c r="G442" i="1" a="1"/>
  <c r="G442" i="1" s="1"/>
  <c r="G443" i="1" a="1"/>
  <c r="G443" i="1" s="1"/>
  <c r="G444" i="1" a="1"/>
  <c r="G444" i="1" s="1"/>
  <c r="G445" i="1" a="1"/>
  <c r="G445" i="1" s="1"/>
  <c r="G446" i="1" a="1"/>
  <c r="G446" i="1" s="1"/>
  <c r="G447" i="1" a="1"/>
  <c r="G447" i="1" s="1"/>
  <c r="G448" i="1" a="1"/>
  <c r="G448" i="1" s="1"/>
  <c r="G449" i="1" a="1"/>
  <c r="G449" i="1" s="1"/>
  <c r="G450" i="1" a="1"/>
  <c r="G450" i="1" s="1"/>
  <c r="G451" i="1" a="1"/>
  <c r="G451" i="1" s="1"/>
  <c r="G452" i="1" a="1"/>
  <c r="G452" i="1" s="1"/>
  <c r="G453" i="1" a="1"/>
  <c r="G453" i="1" s="1"/>
  <c r="G454" i="1" a="1"/>
  <c r="G454" i="1" s="1"/>
  <c r="G455" i="1" a="1"/>
  <c r="G455" i="1" s="1"/>
  <c r="G456" i="1" a="1"/>
  <c r="G456" i="1" s="1"/>
  <c r="G457" i="1" a="1"/>
  <c r="G457" i="1" s="1"/>
  <c r="G458" i="1" a="1"/>
  <c r="G458" i="1" s="1"/>
  <c r="G459" i="1" a="1"/>
  <c r="G459" i="1" s="1"/>
  <c r="G460" i="1" a="1"/>
  <c r="G460" i="1" s="1"/>
  <c r="G461" i="1" a="1"/>
  <c r="G461" i="1" s="1"/>
  <c r="G462" i="1" a="1"/>
  <c r="G462" i="1" s="1"/>
  <c r="G463" i="1" a="1"/>
  <c r="G463" i="1" s="1"/>
  <c r="G464" i="1" a="1"/>
  <c r="G464" i="1" s="1"/>
  <c r="G465" i="1" a="1"/>
  <c r="G465" i="1" s="1"/>
  <c r="G466" i="1" a="1"/>
  <c r="G466" i="1" s="1"/>
  <c r="G467" i="1" a="1"/>
  <c r="G467" i="1" s="1"/>
  <c r="G468" i="1" a="1"/>
  <c r="G468" i="1" s="1"/>
  <c r="G469" i="1" a="1"/>
  <c r="G469" i="1" s="1"/>
  <c r="G470" i="1" a="1"/>
  <c r="G470" i="1" s="1"/>
  <c r="G471" i="1" a="1"/>
  <c r="G471" i="1" s="1"/>
  <c r="G472" i="1" a="1"/>
  <c r="G472" i="1" s="1"/>
  <c r="G473" i="1" a="1"/>
  <c r="G473" i="1" s="1"/>
  <c r="G474" i="1" a="1"/>
  <c r="G474" i="1" s="1"/>
  <c r="G475" i="1" a="1"/>
  <c r="G475" i="1" s="1"/>
  <c r="G476" i="1" a="1"/>
  <c r="G476" i="1" s="1"/>
  <c r="G477" i="1" a="1"/>
  <c r="G477" i="1" s="1"/>
  <c r="G478" i="1" a="1"/>
  <c r="G478" i="1" s="1"/>
  <c r="G479" i="1" a="1"/>
  <c r="G479" i="1" s="1"/>
  <c r="G480" i="1" a="1"/>
  <c r="G480" i="1" s="1"/>
  <c r="G481" i="1" a="1"/>
  <c r="G481" i="1" s="1"/>
  <c r="G482" i="1" a="1"/>
  <c r="G482" i="1" s="1"/>
  <c r="G483" i="1" a="1"/>
  <c r="G483" i="1" s="1"/>
  <c r="G484" i="1" a="1"/>
  <c r="G484" i="1" s="1"/>
  <c r="G485" i="1" a="1"/>
  <c r="G485" i="1" s="1"/>
  <c r="G486" i="1" a="1"/>
  <c r="G486" i="1" s="1"/>
  <c r="G487" i="1" a="1"/>
  <c r="G487" i="1" s="1"/>
  <c r="G488" i="1" a="1"/>
  <c r="G488" i="1" s="1"/>
  <c r="G489" i="1" a="1"/>
  <c r="G489" i="1" s="1"/>
  <c r="G490" i="1" a="1"/>
  <c r="G490" i="1" s="1"/>
  <c r="G491" i="1" a="1"/>
  <c r="G491" i="1" s="1"/>
  <c r="G492" i="1" a="1"/>
  <c r="G492" i="1" s="1"/>
  <c r="G493" i="1" a="1"/>
  <c r="G493" i="1" s="1"/>
  <c r="G494" i="1" a="1"/>
  <c r="G494" i="1" s="1"/>
  <c r="G495" i="1" a="1"/>
  <c r="G495" i="1" s="1"/>
  <c r="G496" i="1" a="1"/>
  <c r="G496" i="1" s="1"/>
  <c r="G497" i="1" a="1"/>
  <c r="G497" i="1" s="1"/>
  <c r="G498" i="1" a="1"/>
  <c r="G498" i="1" s="1"/>
  <c r="G499" i="1" a="1"/>
  <c r="G499" i="1" s="1"/>
  <c r="G500" i="1" a="1"/>
  <c r="G500" i="1" s="1"/>
  <c r="G501" i="1" a="1"/>
  <c r="G501" i="1" s="1"/>
  <c r="G502" i="1" a="1"/>
  <c r="G502" i="1" s="1"/>
  <c r="G503" i="1" a="1"/>
  <c r="G503" i="1" s="1"/>
  <c r="G504" i="1" a="1"/>
  <c r="G504" i="1" s="1"/>
  <c r="G505" i="1" a="1"/>
  <c r="G505" i="1" s="1"/>
  <c r="G506" i="1" a="1"/>
  <c r="G506" i="1" s="1"/>
  <c r="G507" i="1" a="1"/>
  <c r="G507" i="1" s="1"/>
  <c r="G508" i="1" a="1"/>
  <c r="G508" i="1" s="1"/>
  <c r="G509" i="1" a="1"/>
  <c r="G509" i="1" s="1"/>
  <c r="G510" i="1" a="1"/>
  <c r="G510" i="1" s="1"/>
  <c r="G511" i="1" a="1"/>
  <c r="G511" i="1" s="1"/>
  <c r="G512" i="1" a="1"/>
  <c r="G512" i="1" s="1"/>
  <c r="G513" i="1" a="1"/>
  <c r="G513" i="1" s="1"/>
  <c r="G514" i="1" a="1"/>
  <c r="G514" i="1" s="1"/>
  <c r="G515" i="1" a="1"/>
  <c r="G515" i="1" s="1"/>
  <c r="G516" i="1" a="1"/>
  <c r="G516" i="1" s="1"/>
  <c r="G517" i="1" a="1"/>
  <c r="G517" i="1" s="1"/>
  <c r="G518" i="1" a="1"/>
  <c r="G518" i="1" s="1"/>
  <c r="G519" i="1" a="1"/>
  <c r="G519" i="1" s="1"/>
  <c r="G520" i="1" a="1"/>
  <c r="G520" i="1" s="1"/>
  <c r="G521" i="1" a="1"/>
  <c r="G521" i="1" s="1"/>
  <c r="G522" i="1" a="1"/>
  <c r="G522" i="1" s="1"/>
  <c r="G523" i="1" a="1"/>
  <c r="G523" i="1" s="1"/>
  <c r="G524" i="1" a="1"/>
  <c r="G524" i="1" s="1"/>
  <c r="G525" i="1" a="1"/>
  <c r="G525" i="1" s="1"/>
  <c r="G526" i="1" a="1"/>
  <c r="G526" i="1" s="1"/>
  <c r="G527" i="1" a="1"/>
  <c r="G527" i="1" s="1"/>
  <c r="G528" i="1" a="1"/>
  <c r="G528" i="1" s="1"/>
  <c r="G529" i="1" a="1"/>
  <c r="G529" i="1" s="1"/>
  <c r="G530" i="1" a="1"/>
  <c r="G530" i="1" s="1"/>
  <c r="G531" i="1" a="1"/>
  <c r="G531" i="1" s="1"/>
  <c r="G532" i="1" a="1"/>
  <c r="G532" i="1" s="1"/>
  <c r="G533" i="1" a="1"/>
  <c r="G533" i="1" s="1"/>
  <c r="G534" i="1" a="1"/>
  <c r="G534" i="1" s="1"/>
  <c r="G535" i="1" a="1"/>
  <c r="G535" i="1" s="1"/>
  <c r="G536" i="1" a="1"/>
  <c r="G536" i="1" s="1"/>
  <c r="G537" i="1" a="1"/>
  <c r="G537" i="1" s="1"/>
  <c r="G538" i="1" a="1"/>
  <c r="G538" i="1" s="1"/>
  <c r="G539" i="1" a="1"/>
  <c r="G539" i="1" s="1"/>
  <c r="G540" i="1" a="1"/>
  <c r="G540" i="1" s="1"/>
  <c r="G541" i="1" a="1"/>
  <c r="G541" i="1" s="1"/>
  <c r="G542" i="1" a="1"/>
  <c r="G542" i="1" s="1"/>
  <c r="G543" i="1" a="1"/>
  <c r="G543" i="1" s="1"/>
  <c r="G544" i="1" a="1"/>
  <c r="G544" i="1" s="1"/>
  <c r="G545" i="1" a="1"/>
  <c r="G545" i="1" s="1"/>
  <c r="G546" i="1" a="1"/>
  <c r="G546" i="1" s="1"/>
  <c r="G547" i="1" a="1"/>
  <c r="G547" i="1" s="1"/>
  <c r="G548" i="1" a="1"/>
  <c r="G548" i="1" s="1"/>
  <c r="G549" i="1" a="1"/>
  <c r="G549" i="1" s="1"/>
  <c r="G550" i="1" a="1"/>
  <c r="G550" i="1" s="1"/>
  <c r="G551" i="1" a="1"/>
  <c r="G551" i="1" s="1"/>
  <c r="G552" i="1" a="1"/>
  <c r="G552" i="1" s="1"/>
  <c r="G553" i="1" a="1"/>
  <c r="G553" i="1" s="1"/>
  <c r="G554" i="1" a="1"/>
  <c r="G554" i="1" s="1"/>
  <c r="G555" i="1" a="1"/>
  <c r="G555" i="1" s="1"/>
  <c r="G556" i="1" a="1"/>
  <c r="G556" i="1" s="1"/>
  <c r="G557" i="1" a="1"/>
  <c r="G557" i="1" s="1"/>
  <c r="G558" i="1" a="1"/>
  <c r="G558" i="1" s="1"/>
  <c r="G559" i="1" a="1"/>
  <c r="G559" i="1" s="1"/>
  <c r="G560" i="1" a="1"/>
  <c r="G560" i="1" s="1"/>
  <c r="G561" i="1" a="1"/>
  <c r="G561" i="1" s="1"/>
  <c r="G562" i="1" a="1"/>
  <c r="G562" i="1" s="1"/>
  <c r="G563" i="1" a="1"/>
  <c r="G563" i="1" s="1"/>
  <c r="G564" i="1" a="1"/>
  <c r="G564" i="1" s="1"/>
  <c r="G565" i="1" a="1"/>
  <c r="G565" i="1" s="1"/>
  <c r="G566" i="1" a="1"/>
  <c r="G566" i="1" s="1"/>
  <c r="G567" i="1" a="1"/>
  <c r="G567" i="1" s="1"/>
  <c r="G568" i="1" a="1"/>
  <c r="G568" i="1" s="1"/>
  <c r="G569" i="1" a="1"/>
  <c r="G569" i="1" s="1"/>
  <c r="G570" i="1" a="1"/>
  <c r="G570" i="1" s="1"/>
  <c r="G571" i="1" a="1"/>
  <c r="G571" i="1" s="1"/>
  <c r="G572" i="1" a="1"/>
  <c r="G572" i="1" s="1"/>
  <c r="G573" i="1" a="1"/>
  <c r="G573" i="1" s="1"/>
  <c r="G574" i="1" a="1"/>
  <c r="G574" i="1" s="1"/>
  <c r="G575" i="1" a="1"/>
  <c r="G575" i="1" s="1"/>
  <c r="G576" i="1" a="1"/>
  <c r="G576" i="1" s="1"/>
  <c r="G577" i="1" a="1"/>
  <c r="G577" i="1" s="1"/>
  <c r="G578" i="1" a="1"/>
  <c r="G578" i="1" s="1"/>
  <c r="G579" i="1" a="1"/>
  <c r="G579" i="1" s="1"/>
  <c r="G580" i="1" a="1"/>
  <c r="G580" i="1" s="1"/>
  <c r="G581" i="1" a="1"/>
  <c r="G581" i="1" s="1"/>
  <c r="G582" i="1" a="1"/>
  <c r="G582" i="1" s="1"/>
  <c r="G583" i="1" a="1"/>
  <c r="G583" i="1" s="1"/>
  <c r="G584" i="1" a="1"/>
  <c r="G584" i="1" s="1"/>
  <c r="G585" i="1" a="1"/>
  <c r="G585" i="1" s="1"/>
  <c r="G586" i="1" a="1"/>
  <c r="G586" i="1" s="1"/>
  <c r="G587" i="1" a="1"/>
  <c r="G587" i="1" s="1"/>
  <c r="G588" i="1" a="1"/>
  <c r="G588" i="1" s="1"/>
  <c r="G589" i="1" a="1"/>
  <c r="G589" i="1" s="1"/>
  <c r="G590" i="1" a="1"/>
  <c r="G590" i="1" s="1"/>
  <c r="G591" i="1" a="1"/>
  <c r="G591" i="1" s="1"/>
  <c r="G592" i="1" a="1"/>
  <c r="G592" i="1" s="1"/>
  <c r="G593" i="1" a="1"/>
  <c r="G593" i="1" s="1"/>
  <c r="G594" i="1" a="1"/>
  <c r="G594" i="1" s="1"/>
  <c r="G595" i="1" a="1"/>
  <c r="G595" i="1" s="1"/>
  <c r="G596" i="1" a="1"/>
  <c r="G596" i="1" s="1"/>
  <c r="G597" i="1" a="1"/>
  <c r="G597" i="1" s="1"/>
  <c r="G598" i="1" a="1"/>
  <c r="G598" i="1" s="1"/>
  <c r="G599" i="1" a="1"/>
  <c r="G599" i="1" s="1"/>
  <c r="G600" i="1" a="1"/>
  <c r="G600" i="1" s="1"/>
  <c r="G601" i="1" a="1"/>
  <c r="G601" i="1" s="1"/>
  <c r="G602" i="1" a="1"/>
  <c r="G602" i="1" s="1"/>
  <c r="G603" i="1" a="1"/>
  <c r="G603" i="1" s="1"/>
  <c r="G604" i="1" a="1"/>
  <c r="G604" i="1" s="1"/>
  <c r="G605" i="1" a="1"/>
  <c r="G605" i="1" s="1"/>
  <c r="G606" i="1" a="1"/>
  <c r="G606" i="1" s="1"/>
  <c r="G607" i="1" a="1"/>
  <c r="G607" i="1" s="1"/>
  <c r="G608" i="1" a="1"/>
  <c r="G608" i="1" s="1"/>
  <c r="G609" i="1" a="1"/>
  <c r="G609" i="1" s="1"/>
  <c r="G610" i="1" a="1"/>
  <c r="G610" i="1" s="1"/>
  <c r="G611" i="1" a="1"/>
  <c r="G611" i="1" s="1"/>
  <c r="G612" i="1" a="1"/>
  <c r="G612" i="1" s="1"/>
  <c r="G613" i="1" a="1"/>
  <c r="G613" i="1" s="1"/>
  <c r="G614" i="1" a="1"/>
  <c r="G614" i="1" s="1"/>
  <c r="G615" i="1" a="1"/>
  <c r="G615" i="1" s="1"/>
  <c r="G616" i="1" a="1"/>
  <c r="G616" i="1" s="1"/>
  <c r="G617" i="1" a="1"/>
  <c r="G617" i="1" s="1"/>
  <c r="G618" i="1" a="1"/>
  <c r="G618" i="1" s="1"/>
  <c r="G619" i="1" a="1"/>
  <c r="G619" i="1" s="1"/>
  <c r="G620" i="1" a="1"/>
  <c r="G620" i="1" s="1"/>
  <c r="G621" i="1" a="1"/>
  <c r="G621" i="1" s="1"/>
  <c r="G622" i="1" a="1"/>
  <c r="G622" i="1" s="1"/>
  <c r="G623" i="1" a="1"/>
  <c r="G623" i="1" s="1"/>
  <c r="G624" i="1" a="1"/>
  <c r="G624" i="1" s="1"/>
  <c r="G625" i="1" a="1"/>
  <c r="G625" i="1" s="1"/>
  <c r="G626" i="1" a="1"/>
  <c r="G626" i="1" s="1"/>
  <c r="G627" i="1" a="1"/>
  <c r="G627" i="1" s="1"/>
  <c r="G628" i="1" a="1"/>
  <c r="G628" i="1" s="1"/>
  <c r="G629" i="1" a="1"/>
  <c r="G629" i="1" s="1"/>
  <c r="G630" i="1" a="1"/>
  <c r="G630" i="1" s="1"/>
  <c r="G631" i="1" a="1"/>
  <c r="G631" i="1" s="1"/>
  <c r="G632" i="1" a="1"/>
  <c r="G632" i="1" s="1"/>
  <c r="G633" i="1" a="1"/>
  <c r="G633" i="1" s="1"/>
  <c r="G634" i="1" a="1"/>
  <c r="G634" i="1" s="1"/>
  <c r="G635" i="1" a="1"/>
  <c r="G635" i="1" s="1"/>
  <c r="G636" i="1" a="1"/>
  <c r="G636" i="1" s="1"/>
  <c r="G637" i="1" a="1"/>
  <c r="G637" i="1" s="1"/>
  <c r="G638" i="1" a="1"/>
  <c r="G638" i="1" s="1"/>
  <c r="G639" i="1" a="1"/>
  <c r="G639" i="1" s="1"/>
  <c r="G640" i="1" a="1"/>
  <c r="G640" i="1" s="1"/>
  <c r="G641" i="1" a="1"/>
  <c r="G641" i="1" s="1"/>
  <c r="G642" i="1" a="1"/>
  <c r="G642" i="1" s="1"/>
  <c r="G643" i="1" a="1"/>
  <c r="G643" i="1" s="1"/>
  <c r="G644" i="1" a="1"/>
  <c r="G644" i="1" s="1"/>
  <c r="G645" i="1" a="1"/>
  <c r="G645" i="1" s="1"/>
  <c r="G646" i="1" a="1"/>
  <c r="G646" i="1" s="1"/>
  <c r="G647" i="1" a="1"/>
  <c r="G647" i="1" s="1"/>
  <c r="G648" i="1" a="1"/>
  <c r="G648" i="1" s="1"/>
  <c r="G649" i="1" a="1"/>
  <c r="G649" i="1" s="1"/>
  <c r="G650" i="1" a="1"/>
  <c r="G650" i="1" s="1"/>
  <c r="G651" i="1" a="1"/>
  <c r="G651" i="1" s="1"/>
  <c r="G652" i="1" a="1"/>
  <c r="G652" i="1" s="1"/>
  <c r="G653" i="1" a="1"/>
  <c r="G653" i="1" s="1"/>
  <c r="G654" i="1" a="1"/>
  <c r="G654" i="1" s="1"/>
  <c r="G655" i="1" a="1"/>
  <c r="G655" i="1" s="1"/>
  <c r="G656" i="1" a="1"/>
  <c r="G656" i="1" s="1"/>
  <c r="G657" i="1" a="1"/>
  <c r="G657" i="1" s="1"/>
  <c r="G658" i="1" a="1"/>
  <c r="G658" i="1" s="1"/>
  <c r="G659" i="1" a="1"/>
  <c r="G659" i="1" s="1"/>
  <c r="G660" i="1" a="1"/>
  <c r="G660" i="1" s="1"/>
  <c r="G661" i="1" a="1"/>
  <c r="G661" i="1" s="1"/>
  <c r="G662" i="1" a="1"/>
  <c r="G662" i="1" s="1"/>
  <c r="G663" i="1" a="1"/>
  <c r="G663" i="1" s="1"/>
  <c r="G664" i="1" a="1"/>
  <c r="G664" i="1" s="1"/>
  <c r="G665" i="1" a="1"/>
  <c r="G665" i="1" s="1"/>
  <c r="G666" i="1" a="1"/>
  <c r="G666" i="1" s="1"/>
  <c r="G667" i="1" a="1"/>
  <c r="G667" i="1" s="1"/>
  <c r="G668" i="1" a="1"/>
  <c r="G668" i="1" s="1"/>
  <c r="G669" i="1" a="1"/>
  <c r="G669" i="1" s="1"/>
  <c r="G670" i="1" a="1"/>
  <c r="G670" i="1" s="1"/>
  <c r="G671" i="1" a="1"/>
  <c r="G671" i="1" s="1"/>
  <c r="G672" i="1" a="1"/>
  <c r="G672" i="1" s="1"/>
  <c r="G673" i="1" a="1"/>
  <c r="G673" i="1" s="1"/>
  <c r="G674" i="1" a="1"/>
  <c r="G674" i="1" s="1"/>
  <c r="G675" i="1" a="1"/>
  <c r="G675" i="1" s="1"/>
  <c r="G676" i="1" a="1"/>
  <c r="G676" i="1" s="1"/>
  <c r="G677" i="1" a="1"/>
  <c r="G677" i="1" s="1"/>
  <c r="G678" i="1" a="1"/>
  <c r="G678" i="1" s="1"/>
  <c r="G679" i="1" a="1"/>
  <c r="G679" i="1" s="1"/>
  <c r="G680" i="1" a="1"/>
  <c r="G680" i="1" s="1"/>
  <c r="G681" i="1" a="1"/>
  <c r="G681" i="1" s="1"/>
  <c r="G682" i="1" a="1"/>
  <c r="G682" i="1" s="1"/>
  <c r="G683" i="1" a="1"/>
  <c r="G683" i="1" s="1"/>
  <c r="G684" i="1" a="1"/>
  <c r="G684" i="1" s="1"/>
  <c r="G685" i="1" a="1"/>
  <c r="G685" i="1" s="1"/>
  <c r="G686" i="1" a="1"/>
  <c r="G686" i="1" s="1"/>
  <c r="G687" i="1" a="1"/>
  <c r="G687" i="1" s="1"/>
  <c r="G688" i="1" a="1"/>
  <c r="G688" i="1" s="1"/>
  <c r="G689" i="1" a="1"/>
  <c r="G689" i="1" s="1"/>
  <c r="G690" i="1" a="1"/>
  <c r="G690" i="1" s="1"/>
  <c r="G691" i="1" a="1"/>
  <c r="G691" i="1" s="1"/>
  <c r="G692" i="1" a="1"/>
  <c r="G692" i="1" s="1"/>
  <c r="G693" i="1" a="1"/>
  <c r="G693" i="1" s="1"/>
  <c r="G694" i="1" a="1"/>
  <c r="G694" i="1" s="1"/>
  <c r="G695" i="1" a="1"/>
  <c r="G695" i="1" s="1"/>
  <c r="G696" i="1" a="1"/>
  <c r="G696" i="1" s="1"/>
  <c r="G697" i="1" a="1"/>
  <c r="G697" i="1" s="1"/>
  <c r="G698" i="1" a="1"/>
  <c r="G698" i="1" s="1"/>
  <c r="G699" i="1" a="1"/>
  <c r="G699" i="1" s="1"/>
  <c r="G700" i="1" a="1"/>
  <c r="G700" i="1" s="1"/>
  <c r="G701" i="1" a="1"/>
  <c r="G701" i="1" s="1"/>
  <c r="G702" i="1" a="1"/>
  <c r="G702" i="1" s="1"/>
  <c r="G703" i="1" a="1"/>
  <c r="G703" i="1" s="1"/>
  <c r="G704" i="1" a="1"/>
  <c r="G704" i="1" s="1"/>
  <c r="G705" i="1" a="1"/>
  <c r="G705" i="1" s="1"/>
  <c r="G706" i="1" a="1"/>
  <c r="G706" i="1" s="1"/>
  <c r="G707" i="1" a="1"/>
  <c r="G707" i="1" s="1"/>
  <c r="G708" i="1" a="1"/>
  <c r="G708" i="1" s="1"/>
  <c r="G709" i="1" a="1"/>
  <c r="G709" i="1" s="1"/>
  <c r="G710" i="1" a="1"/>
  <c r="G710" i="1" s="1"/>
  <c r="G711" i="1" a="1"/>
  <c r="G711" i="1" s="1"/>
  <c r="G712" i="1" a="1"/>
  <c r="G712" i="1" s="1"/>
  <c r="G713" i="1" a="1"/>
  <c r="G713" i="1" s="1"/>
  <c r="G714" i="1" a="1"/>
  <c r="G714" i="1" s="1"/>
  <c r="G715" i="1" a="1"/>
  <c r="G715" i="1" s="1"/>
  <c r="G716" i="1" a="1"/>
  <c r="G716" i="1" s="1"/>
  <c r="G717" i="1" a="1"/>
  <c r="G717" i="1" s="1"/>
  <c r="G718" i="1" a="1"/>
  <c r="G718" i="1" s="1"/>
  <c r="G719" i="1" a="1"/>
  <c r="G719" i="1" s="1"/>
  <c r="G720" i="1" a="1"/>
  <c r="G720" i="1" s="1"/>
  <c r="G721" i="1" a="1"/>
  <c r="G721" i="1" s="1"/>
  <c r="G722" i="1" a="1"/>
  <c r="G722" i="1" s="1"/>
  <c r="G723" i="1" a="1"/>
  <c r="G723" i="1" s="1"/>
  <c r="G724" i="1" a="1"/>
  <c r="G724" i="1" s="1"/>
  <c r="G725" i="1" a="1"/>
  <c r="G725" i="1" s="1"/>
  <c r="G726" i="1" a="1"/>
  <c r="G726" i="1" s="1"/>
  <c r="G727" i="1" a="1"/>
  <c r="G727" i="1" s="1"/>
  <c r="G728" i="1" a="1"/>
  <c r="G728" i="1" s="1"/>
  <c r="G729" i="1" a="1"/>
  <c r="G729" i="1" s="1"/>
  <c r="G730" i="1" a="1"/>
  <c r="G730" i="1" s="1"/>
  <c r="G731" i="1" a="1"/>
  <c r="G731" i="1" s="1"/>
  <c r="G732" i="1" a="1"/>
  <c r="G732" i="1" s="1"/>
  <c r="G733" i="1" a="1"/>
  <c r="G733" i="1" s="1"/>
  <c r="G734" i="1" a="1"/>
  <c r="G734" i="1" s="1"/>
  <c r="G735" i="1" a="1"/>
  <c r="G735" i="1" s="1"/>
  <c r="G736" i="1" a="1"/>
  <c r="G736" i="1" s="1"/>
  <c r="G737" i="1" a="1"/>
  <c r="G737" i="1" s="1"/>
  <c r="G738" i="1" a="1"/>
  <c r="G738" i="1" s="1"/>
  <c r="G739" i="1" a="1"/>
  <c r="G739" i="1" s="1"/>
  <c r="G740" i="1" a="1"/>
  <c r="G740" i="1" s="1"/>
  <c r="G741" i="1" a="1"/>
  <c r="G741" i="1" s="1"/>
  <c r="G742" i="1" a="1"/>
  <c r="G742" i="1" s="1"/>
  <c r="G743" i="1" a="1"/>
  <c r="G743" i="1" s="1"/>
  <c r="G744" i="1" a="1"/>
  <c r="G744" i="1" s="1"/>
  <c r="G745" i="1" a="1"/>
  <c r="G745" i="1" s="1"/>
  <c r="G746" i="1" a="1"/>
  <c r="G746" i="1" s="1"/>
  <c r="G747" i="1" a="1"/>
  <c r="G747" i="1" s="1"/>
  <c r="G748" i="1" a="1"/>
  <c r="G748" i="1" s="1"/>
  <c r="G749" i="1" a="1"/>
  <c r="G749" i="1" s="1"/>
  <c r="G750" i="1" a="1"/>
  <c r="G750" i="1" s="1"/>
  <c r="G751" i="1" a="1"/>
  <c r="G751" i="1" s="1"/>
  <c r="G752" i="1" a="1"/>
  <c r="G752" i="1" s="1"/>
  <c r="G753" i="1" a="1"/>
  <c r="G753" i="1" s="1"/>
  <c r="G754" i="1" a="1"/>
  <c r="G754" i="1" s="1"/>
  <c r="G755" i="1" a="1"/>
  <c r="G755" i="1" s="1"/>
  <c r="G756" i="1" a="1"/>
  <c r="G756" i="1" s="1"/>
  <c r="G757" i="1" a="1"/>
  <c r="G757" i="1" s="1"/>
  <c r="G758" i="1" a="1"/>
  <c r="G758" i="1" s="1"/>
  <c r="G759" i="1" a="1"/>
  <c r="G759" i="1" s="1"/>
  <c r="G760" i="1" a="1"/>
  <c r="G760" i="1" s="1"/>
  <c r="G761" i="1" a="1"/>
  <c r="G761" i="1" s="1"/>
  <c r="G762" i="1" a="1"/>
  <c r="G762" i="1" s="1"/>
  <c r="G763" i="1" a="1"/>
  <c r="G763" i="1" s="1"/>
  <c r="G764" i="1" a="1"/>
  <c r="G764" i="1" s="1"/>
  <c r="G765" i="1" a="1"/>
  <c r="G765" i="1" s="1"/>
  <c r="G766" i="1" a="1"/>
  <c r="G766" i="1" s="1"/>
  <c r="G767" i="1" a="1"/>
  <c r="G767" i="1" s="1"/>
  <c r="G768" i="1" a="1"/>
  <c r="G768" i="1" s="1"/>
  <c r="G769" i="1" a="1"/>
  <c r="G769" i="1" s="1"/>
  <c r="G770" i="1" a="1"/>
  <c r="G770" i="1" s="1"/>
  <c r="G771" i="1" a="1"/>
  <c r="G771" i="1" s="1"/>
  <c r="G772" i="1" a="1"/>
  <c r="G772" i="1" s="1"/>
  <c r="G773" i="1" a="1"/>
  <c r="G773" i="1" s="1"/>
  <c r="G774" i="1" a="1"/>
  <c r="G774" i="1" s="1"/>
  <c r="G775" i="1" a="1"/>
  <c r="G775" i="1" s="1"/>
  <c r="G776" i="1" a="1"/>
  <c r="G776" i="1" s="1"/>
  <c r="G777" i="1" a="1"/>
  <c r="G777" i="1" s="1"/>
  <c r="G778" i="1" a="1"/>
  <c r="G778" i="1" s="1"/>
  <c r="G779" i="1" a="1"/>
  <c r="G779" i="1" s="1"/>
  <c r="G780" i="1" a="1"/>
  <c r="G780" i="1" s="1"/>
  <c r="G781" i="1" a="1"/>
  <c r="G781" i="1" s="1"/>
  <c r="G782" i="1" a="1"/>
  <c r="G782" i="1" s="1"/>
  <c r="G783" i="1" a="1"/>
  <c r="G783" i="1" s="1"/>
  <c r="G784" i="1" a="1"/>
  <c r="G784" i="1" s="1"/>
  <c r="G785" i="1" a="1"/>
  <c r="G785" i="1" s="1"/>
  <c r="G786" i="1" a="1"/>
  <c r="G786" i="1" s="1"/>
  <c r="G787" i="1" a="1"/>
  <c r="G787" i="1" s="1"/>
  <c r="G788" i="1" a="1"/>
  <c r="G788" i="1" s="1"/>
  <c r="G789" i="1" a="1"/>
  <c r="G789" i="1" s="1"/>
  <c r="G790" i="1" a="1"/>
  <c r="G790" i="1" s="1"/>
  <c r="G791" i="1" a="1"/>
  <c r="G791" i="1" s="1"/>
  <c r="G792" i="1" a="1"/>
  <c r="G792" i="1" s="1"/>
  <c r="G793" i="1" a="1"/>
  <c r="G793" i="1" s="1"/>
  <c r="G794" i="1" a="1"/>
  <c r="G794" i="1" s="1"/>
  <c r="G795" i="1" a="1"/>
  <c r="G795" i="1" s="1"/>
  <c r="G796" i="1" a="1"/>
  <c r="G796" i="1" s="1"/>
  <c r="G797" i="1" a="1"/>
  <c r="G797" i="1" s="1"/>
  <c r="G798" i="1" a="1"/>
  <c r="G798" i="1" s="1"/>
  <c r="G799" i="1" a="1"/>
  <c r="G799" i="1" s="1"/>
  <c r="G800" i="1" a="1"/>
  <c r="G800" i="1" s="1"/>
  <c r="G801" i="1" a="1"/>
  <c r="G801" i="1" s="1"/>
  <c r="G802" i="1" a="1"/>
  <c r="G802" i="1" s="1"/>
  <c r="G803" i="1" a="1"/>
  <c r="G803" i="1" s="1"/>
  <c r="G804" i="1" a="1"/>
  <c r="G804" i="1" s="1"/>
  <c r="G805" i="1" a="1"/>
  <c r="G805" i="1" s="1"/>
  <c r="G806" i="1" a="1"/>
  <c r="G806" i="1" s="1"/>
  <c r="G807" i="1" a="1"/>
  <c r="G807" i="1" s="1"/>
  <c r="G808" i="1" a="1"/>
  <c r="G808" i="1" s="1"/>
  <c r="G809" i="1" a="1"/>
  <c r="G809" i="1" s="1"/>
  <c r="G810" i="1" a="1"/>
  <c r="G810" i="1" s="1"/>
  <c r="G811" i="1" a="1"/>
  <c r="G811" i="1" s="1"/>
  <c r="G812" i="1" a="1"/>
  <c r="G812" i="1" s="1"/>
  <c r="G813" i="1" a="1"/>
  <c r="G813" i="1" s="1"/>
  <c r="G814" i="1" a="1"/>
  <c r="G814" i="1" s="1"/>
  <c r="G815" i="1" a="1"/>
  <c r="G815" i="1" s="1"/>
  <c r="G816" i="1" a="1"/>
  <c r="G816" i="1" s="1"/>
  <c r="G817" i="1" a="1"/>
  <c r="G817" i="1" s="1"/>
  <c r="G818" i="1" a="1"/>
  <c r="G818" i="1" s="1"/>
  <c r="G819" i="1" a="1"/>
  <c r="G819" i="1" s="1"/>
  <c r="G820" i="1" a="1"/>
  <c r="G820" i="1" s="1"/>
  <c r="G821" i="1" a="1"/>
  <c r="G821" i="1" s="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 r="G211" i="1" a="1"/>
  <c r="G210" i="1" a="1"/>
  <c r="G206" i="1" a="1"/>
  <c r="G212" i="1" a="1"/>
  <c r="G207" i="1" a="1"/>
  <c r="G213" i="1" a="1"/>
  <c r="G208" i="1" a="1"/>
  <c r="G209" i="1" a="1"/>
  <c r="G205" i="1" a="1"/>
  <c r="G199" i="1" a="1"/>
  <c r="G200" i="1" a="1"/>
  <c r="G201" i="1" a="1"/>
  <c r="G202" i="1" a="1"/>
  <c r="G203" i="1" a="1"/>
  <c r="G204" i="1" a="1"/>
  <c r="G146" i="1" a="1"/>
  <c r="G157" i="1" a="1"/>
  <c r="G169" i="1" a="1"/>
  <c r="G181" i="1" a="1"/>
  <c r="G193" i="1" a="1"/>
  <c r="G147" i="1" a="1"/>
  <c r="G158" i="1" a="1"/>
  <c r="G170" i="1" a="1"/>
  <c r="G182" i="1" a="1"/>
  <c r="G194" i="1" a="1"/>
  <c r="G180" i="1" a="1"/>
  <c r="G148" i="1" a="1"/>
  <c r="G159" i="1" a="1"/>
  <c r="G171" i="1" a="1"/>
  <c r="G183" i="1" a="1"/>
  <c r="G195" i="1" a="1"/>
  <c r="G187" i="1" a="1"/>
  <c r="G154" i="1" a="1"/>
  <c r="G144" i="1" a="1"/>
  <c r="G191" i="1" a="1"/>
  <c r="G168" i="1" a="1"/>
  <c r="G160" i="1" a="1"/>
  <c r="G172" i="1" a="1"/>
  <c r="G184" i="1" a="1"/>
  <c r="G196" i="1" a="1"/>
  <c r="G163" i="1" a="1"/>
  <c r="G166" i="1" a="1"/>
  <c r="G155" i="1" a="1"/>
  <c r="G156" i="1" a="1"/>
  <c r="G149" i="1" a="1"/>
  <c r="G161" i="1" a="1"/>
  <c r="G173" i="1" a="1"/>
  <c r="G185" i="1" a="1"/>
  <c r="G197" i="1" a="1"/>
  <c r="G162" i="1" a="1"/>
  <c r="G174" i="1" a="1"/>
  <c r="G186" i="1" a="1"/>
  <c r="G198" i="1" a="1"/>
  <c r="G175" i="1" a="1"/>
  <c r="G143" i="1" a="1"/>
  <c r="G190" i="1" a="1"/>
  <c r="G179" i="1" a="1"/>
  <c r="G145" i="1" a="1"/>
  <c r="G150" i="1" a="1"/>
  <c r="G151" i="1" a="1"/>
  <c r="G152" i="1" a="1"/>
  <c r="G164" i="1" a="1"/>
  <c r="G176" i="1" a="1"/>
  <c r="G188" i="1" a="1"/>
  <c r="G142" i="1" a="1"/>
  <c r="G153" i="1" a="1"/>
  <c r="G165" i="1" a="1"/>
  <c r="G177" i="1" a="1"/>
  <c r="G189" i="1" a="1"/>
  <c r="G178" i="1" a="1"/>
  <c r="G167" i="1" a="1"/>
  <c r="G192" i="1" a="1"/>
  <c r="G32" i="1" a="1"/>
  <c r="G44" i="1" a="1"/>
  <c r="G56" i="1" a="1"/>
  <c r="G69" i="1" a="1"/>
  <c r="G81" i="1" a="1"/>
  <c r="G93" i="1" a="1"/>
  <c r="G105" i="1" a="1"/>
  <c r="G117" i="1" a="1"/>
  <c r="G129" i="1" a="1"/>
  <c r="G141" i="1" a="1"/>
  <c r="G15" i="1" a="1"/>
  <c r="G3" i="1" a="1"/>
  <c r="G45" i="1" a="1"/>
  <c r="G57" i="1" a="1"/>
  <c r="G70" i="1" a="1"/>
  <c r="G82" i="1" a="1"/>
  <c r="G94" i="1" a="1"/>
  <c r="G106" i="1" a="1"/>
  <c r="G118" i="1" a="1"/>
  <c r="G130" i="1" a="1"/>
  <c r="G33" i="1" a="1"/>
  <c r="G68" i="1" a="1"/>
  <c r="G26" i="1" a="1"/>
  <c r="G36" i="1" a="1"/>
  <c r="G48" i="1" a="1"/>
  <c r="G60" i="1" a="1"/>
  <c r="G73" i="1" a="1"/>
  <c r="G85" i="1" a="1"/>
  <c r="G97" i="1" a="1"/>
  <c r="G109" i="1" a="1"/>
  <c r="G121" i="1" a="1"/>
  <c r="G133" i="1" a="1"/>
  <c r="G23" i="1" a="1"/>
  <c r="G11" i="1" a="1"/>
  <c r="G27" i="1" a="1"/>
  <c r="G37" i="1" a="1"/>
  <c r="G49" i="1" a="1"/>
  <c r="G61" i="1" a="1"/>
  <c r="G74" i="1" a="1"/>
  <c r="G86" i="1" a="1"/>
  <c r="G98" i="1" a="1"/>
  <c r="G110" i="1" a="1"/>
  <c r="G122" i="1" a="1"/>
  <c r="G134" i="1" a="1"/>
  <c r="G22" i="1" a="1"/>
  <c r="G10" i="1" a="1"/>
  <c r="G28" i="1" a="1"/>
  <c r="G38" i="1" a="1"/>
  <c r="G50" i="1" a="1"/>
  <c r="G62" i="1" a="1"/>
  <c r="G75" i="1" a="1"/>
  <c r="G87" i="1" a="1"/>
  <c r="G99" i="1" a="1"/>
  <c r="G111" i="1" a="1"/>
  <c r="G123" i="1" a="1"/>
  <c r="G135" i="1" a="1"/>
  <c r="G21" i="1" a="1"/>
  <c r="G8" i="1" a="1"/>
  <c r="G29" i="1" a="1"/>
  <c r="G63" i="1" a="1"/>
  <c r="G112" i="1" a="1"/>
  <c r="G9" i="1" a="1"/>
  <c r="G40" i="1" a="1"/>
  <c r="G52" i="1" a="1"/>
  <c r="G64" i="1" a="1"/>
  <c r="G77" i="1" a="1"/>
  <c r="G89" i="1" a="1"/>
  <c r="G101" i="1" a="1"/>
  <c r="G113" i="1" a="1"/>
  <c r="G125" i="1" a="1"/>
  <c r="G137" i="1" a="1"/>
  <c r="G19" i="1" a="1"/>
  <c r="G2" i="1" a="1"/>
  <c r="G30" i="1" a="1"/>
  <c r="G41" i="1" a="1"/>
  <c r="G53" i="1" a="1"/>
  <c r="G65" i="1" a="1"/>
  <c r="G78" i="1" a="1"/>
  <c r="G90" i="1" a="1"/>
  <c r="G102" i="1" a="1"/>
  <c r="G114" i="1" a="1"/>
  <c r="G138" i="1" a="1"/>
  <c r="G31" i="1" a="1"/>
  <c r="G43" i="1" a="1"/>
  <c r="G55" i="1" a="1"/>
  <c r="G67" i="1" a="1"/>
  <c r="G80" i="1" a="1"/>
  <c r="G92" i="1" a="1"/>
  <c r="G104" i="1" a="1"/>
  <c r="G116" i="1" a="1"/>
  <c r="G128" i="1" a="1"/>
  <c r="G140" i="1" a="1"/>
  <c r="G7" i="1" a="1"/>
  <c r="G6" i="1" a="1"/>
  <c r="G24" i="1" a="1"/>
  <c r="G71" i="1" a="1"/>
  <c r="G119" i="1" a="1"/>
  <c r="G47" i="1" a="1"/>
  <c r="G84" i="1" a="1"/>
  <c r="G120" i="1" a="1"/>
  <c r="G39" i="1" a="1"/>
  <c r="G88" i="1" a="1"/>
  <c r="G136" i="1" a="1"/>
  <c r="G126" i="1" a="1"/>
  <c r="G18" i="1" a="1"/>
  <c r="G4" i="1" a="1"/>
  <c r="G16" i="1" a="1"/>
  <c r="G14" i="1" a="1"/>
  <c r="G34" i="1" a="1"/>
  <c r="G46" i="1" a="1"/>
  <c r="G58" i="1" a="1"/>
  <c r="G83" i="1" a="1"/>
  <c r="G95" i="1" a="1"/>
  <c r="G107" i="1" a="1"/>
  <c r="G131" i="1" a="1"/>
  <c r="G13" i="1" a="1"/>
  <c r="G25" i="1" a="1"/>
  <c r="G59" i="1" a="1"/>
  <c r="G72" i="1" a="1"/>
  <c r="G96" i="1" a="1"/>
  <c r="G108" i="1" a="1"/>
  <c r="G132" i="1" a="1"/>
  <c r="G12" i="1" a="1"/>
  <c r="G51" i="1" a="1"/>
  <c r="G76" i="1" a="1"/>
  <c r="G100" i="1" a="1"/>
  <c r="G124" i="1" a="1"/>
  <c r="G20" i="1" a="1"/>
  <c r="G42" i="1" a="1"/>
  <c r="G54" i="1" a="1"/>
  <c r="G66" i="1" a="1"/>
  <c r="G79" i="1" a="1"/>
  <c r="G91" i="1" a="1"/>
  <c r="G103" i="1" a="1"/>
  <c r="G115" i="1" a="1"/>
  <c r="G127" i="1" a="1"/>
  <c r="G139" i="1" a="1"/>
  <c r="G17" i="1" a="1"/>
  <c r="G5" i="1" a="1"/>
  <c r="G35" i="1" a="1"/>
  <c r="I207" i="1" l="1"/>
  <c r="H205" i="1"/>
  <c r="I209" i="1"/>
  <c r="H207" i="1"/>
  <c r="I210" i="1"/>
  <c r="H208" i="1"/>
  <c r="H210" i="1"/>
  <c r="I212" i="1"/>
  <c r="H200" i="1"/>
  <c r="I202" i="1"/>
  <c r="H201" i="1"/>
  <c r="I203" i="1"/>
  <c r="H203" i="1"/>
  <c r="I205" i="1"/>
  <c r="H204" i="1"/>
  <c r="I206" i="1"/>
  <c r="H158" i="1"/>
  <c r="I160" i="1"/>
  <c r="I161" i="1"/>
  <c r="H159" i="1"/>
  <c r="I162" i="1"/>
  <c r="H160" i="1"/>
  <c r="H162" i="1"/>
  <c r="I164" i="1"/>
  <c r="I172" i="1"/>
  <c r="H170" i="1"/>
  <c r="I174" i="1"/>
  <c r="H172" i="1"/>
  <c r="H182" i="1"/>
  <c r="I184" i="1"/>
  <c r="H184" i="1"/>
  <c r="I186" i="1"/>
  <c r="I187" i="1"/>
  <c r="H185" i="1"/>
  <c r="I196" i="1"/>
  <c r="H194" i="1"/>
  <c r="I197" i="1"/>
  <c r="H195" i="1"/>
  <c r="I198" i="1"/>
  <c r="H196" i="1"/>
  <c r="H153" i="1"/>
  <c r="I155" i="1"/>
  <c r="I156" i="1"/>
  <c r="H154" i="1"/>
  <c r="G209" i="1"/>
  <c r="G208" i="1"/>
  <c r="G213" i="1"/>
  <c r="G207" i="1"/>
  <c r="G212" i="1"/>
  <c r="G206" i="1"/>
  <c r="G210" i="1"/>
  <c r="G211" i="1"/>
  <c r="I120" i="1"/>
  <c r="H197" i="1"/>
  <c r="H171" i="1"/>
  <c r="H209" i="1"/>
  <c r="I163" i="1"/>
  <c r="I188" i="1"/>
  <c r="I204" i="1"/>
  <c r="H206" i="1"/>
  <c r="I185" i="1"/>
  <c r="I213" i="1"/>
  <c r="I201" i="1"/>
  <c r="I200" i="1"/>
  <c r="I176" i="1"/>
  <c r="I153" i="1"/>
  <c r="H152" i="1"/>
  <c r="I175" i="1"/>
  <c r="I152" i="1"/>
  <c r="I151" i="1"/>
  <c r="G204" i="1"/>
  <c r="G203" i="1"/>
  <c r="G202" i="1"/>
  <c r="G201" i="1"/>
  <c r="G200" i="1"/>
  <c r="G199" i="1"/>
  <c r="G205" i="1"/>
  <c r="G192" i="1"/>
  <c r="G167" i="1"/>
  <c r="G178" i="1"/>
  <c r="G189" i="1"/>
  <c r="G177" i="1"/>
  <c r="G165" i="1"/>
  <c r="G153" i="1"/>
  <c r="G142" i="1"/>
  <c r="G188" i="1"/>
  <c r="G176" i="1"/>
  <c r="G164" i="1"/>
  <c r="G152" i="1"/>
  <c r="G151" i="1"/>
  <c r="G150" i="1"/>
  <c r="G145" i="1"/>
  <c r="G179" i="1"/>
  <c r="G190" i="1"/>
  <c r="G143" i="1"/>
  <c r="G175" i="1"/>
  <c r="G198" i="1"/>
  <c r="G186" i="1"/>
  <c r="G174" i="1"/>
  <c r="G162" i="1"/>
  <c r="G197" i="1"/>
  <c r="G185" i="1"/>
  <c r="G173" i="1"/>
  <c r="G161" i="1"/>
  <c r="G149" i="1"/>
  <c r="G156" i="1"/>
  <c r="G155" i="1"/>
  <c r="G166" i="1"/>
  <c r="G163" i="1"/>
  <c r="G196" i="1"/>
  <c r="G184" i="1"/>
  <c r="G172" i="1"/>
  <c r="G160" i="1"/>
  <c r="G168" i="1"/>
  <c r="G191" i="1"/>
  <c r="G144" i="1"/>
  <c r="G154" i="1"/>
  <c r="G187" i="1"/>
  <c r="G195" i="1"/>
  <c r="G183" i="1"/>
  <c r="G171" i="1"/>
  <c r="G159" i="1"/>
  <c r="G148" i="1"/>
  <c r="G180" i="1"/>
  <c r="G194" i="1"/>
  <c r="G182" i="1"/>
  <c r="G170" i="1"/>
  <c r="G158" i="1"/>
  <c r="G147" i="1"/>
  <c r="G193" i="1"/>
  <c r="G181" i="1"/>
  <c r="G169" i="1"/>
  <c r="G157" i="1"/>
  <c r="G146" i="1"/>
  <c r="I115" i="1"/>
  <c r="I114" i="1"/>
  <c r="I195" i="1"/>
  <c r="I183" i="1"/>
  <c r="I171" i="1"/>
  <c r="I159" i="1"/>
  <c r="I194" i="1"/>
  <c r="I182" i="1"/>
  <c r="I170" i="1"/>
  <c r="I158" i="1"/>
  <c r="I193" i="1"/>
  <c r="I181" i="1"/>
  <c r="I169" i="1"/>
  <c r="I157" i="1"/>
  <c r="I192" i="1"/>
  <c r="I180" i="1"/>
  <c r="I168" i="1"/>
  <c r="I191" i="1"/>
  <c r="I179" i="1"/>
  <c r="I167" i="1"/>
  <c r="I190" i="1"/>
  <c r="I178" i="1"/>
  <c r="I166" i="1"/>
  <c r="I189" i="1"/>
  <c r="I177" i="1"/>
  <c r="I165" i="1"/>
  <c r="G35" i="1"/>
  <c r="G139" i="1"/>
  <c r="G127" i="1"/>
  <c r="G115" i="1"/>
  <c r="G103" i="1"/>
  <c r="G91" i="1"/>
  <c r="G79" i="1"/>
  <c r="G66" i="1"/>
  <c r="G54" i="1"/>
  <c r="G42" i="1"/>
  <c r="G124" i="1"/>
  <c r="G100" i="1"/>
  <c r="G76" i="1"/>
  <c r="G51" i="1"/>
  <c r="G132" i="1"/>
  <c r="G108" i="1"/>
  <c r="G96" i="1"/>
  <c r="G72" i="1"/>
  <c r="G59" i="1"/>
  <c r="G25" i="1"/>
  <c r="G131" i="1"/>
  <c r="G107" i="1"/>
  <c r="G95" i="1"/>
  <c r="G83" i="1"/>
  <c r="G58" i="1"/>
  <c r="G46" i="1"/>
  <c r="G34" i="1"/>
  <c r="G126" i="1"/>
  <c r="G136" i="1"/>
  <c r="G88" i="1"/>
  <c r="G39" i="1"/>
  <c r="G120" i="1"/>
  <c r="G84" i="1"/>
  <c r="G47" i="1"/>
  <c r="G119" i="1"/>
  <c r="G71" i="1"/>
  <c r="G24" i="1"/>
  <c r="G140" i="1"/>
  <c r="G128" i="1"/>
  <c r="G116" i="1"/>
  <c r="G104" i="1"/>
  <c r="G92" i="1"/>
  <c r="G80" i="1"/>
  <c r="G67" i="1"/>
  <c r="G55" i="1"/>
  <c r="G43" i="1"/>
  <c r="G31" i="1"/>
  <c r="G138" i="1"/>
  <c r="G114" i="1"/>
  <c r="G102" i="1"/>
  <c r="G90" i="1"/>
  <c r="G78" i="1"/>
  <c r="G65" i="1"/>
  <c r="G53" i="1"/>
  <c r="G41" i="1"/>
  <c r="G30" i="1"/>
  <c r="G137" i="1"/>
  <c r="G125" i="1"/>
  <c r="G113" i="1"/>
  <c r="G101" i="1"/>
  <c r="G89" i="1"/>
  <c r="G77" i="1"/>
  <c r="G64" i="1"/>
  <c r="G52" i="1"/>
  <c r="G40" i="1"/>
  <c r="G112" i="1"/>
  <c r="G63" i="1"/>
  <c r="G29" i="1"/>
  <c r="G135" i="1"/>
  <c r="G123" i="1"/>
  <c r="G111" i="1"/>
  <c r="G99" i="1"/>
  <c r="G87" i="1"/>
  <c r="G75" i="1"/>
  <c r="G62" i="1"/>
  <c r="G50" i="1"/>
  <c r="G38" i="1"/>
  <c r="G28" i="1"/>
  <c r="G134" i="1"/>
  <c r="G122" i="1"/>
  <c r="G110" i="1"/>
  <c r="G98" i="1"/>
  <c r="G86" i="1"/>
  <c r="G74" i="1"/>
  <c r="G61" i="1"/>
  <c r="G49" i="1"/>
  <c r="G37" i="1"/>
  <c r="G27" i="1"/>
  <c r="G133" i="1"/>
  <c r="G121" i="1"/>
  <c r="G109" i="1"/>
  <c r="G97" i="1"/>
  <c r="G85" i="1"/>
  <c r="G73" i="1"/>
  <c r="G60" i="1"/>
  <c r="G48" i="1"/>
  <c r="G36" i="1"/>
  <c r="G26" i="1"/>
  <c r="G68" i="1"/>
  <c r="G33" i="1"/>
  <c r="G130" i="1"/>
  <c r="G118" i="1"/>
  <c r="G106" i="1"/>
  <c r="G94" i="1"/>
  <c r="G82" i="1"/>
  <c r="G70" i="1"/>
  <c r="G57" i="1"/>
  <c r="G45" i="1"/>
  <c r="G141" i="1"/>
  <c r="G129" i="1"/>
  <c r="G117" i="1"/>
  <c r="G105" i="1"/>
  <c r="G93" i="1"/>
  <c r="G81" i="1"/>
  <c r="G69" i="1"/>
  <c r="G56" i="1"/>
  <c r="G44" i="1"/>
  <c r="G32" i="1"/>
  <c r="H119" i="1"/>
  <c r="H117" i="1"/>
  <c r="I141" i="1"/>
  <c r="H139" i="1"/>
  <c r="I69" i="1"/>
  <c r="H67" i="1"/>
  <c r="I22" i="1"/>
  <c r="H20" i="1"/>
  <c r="I23" i="1"/>
  <c r="H21" i="1"/>
  <c r="I24" i="1"/>
  <c r="H22" i="1"/>
  <c r="I25" i="1"/>
  <c r="H23" i="1"/>
  <c r="I26" i="1"/>
  <c r="H24" i="1"/>
  <c r="H25" i="1"/>
  <c r="I27" i="1"/>
  <c r="H26" i="1"/>
  <c r="I28" i="1"/>
  <c r="I29" i="1"/>
  <c r="H27" i="1"/>
  <c r="H28" i="1"/>
  <c r="I14" i="1"/>
  <c r="H12" i="1"/>
  <c r="I17" i="1"/>
  <c r="H15" i="1"/>
  <c r="I18" i="1"/>
  <c r="H16" i="1"/>
  <c r="H68" i="1"/>
  <c r="I70" i="1"/>
  <c r="H69" i="1"/>
  <c r="I71" i="1"/>
  <c r="H70" i="1"/>
  <c r="I72" i="1"/>
  <c r="H71" i="1"/>
  <c r="I73" i="1"/>
  <c r="H72" i="1"/>
  <c r="I74" i="1"/>
  <c r="H73" i="1"/>
  <c r="I75" i="1"/>
  <c r="H74" i="1"/>
  <c r="I76" i="1"/>
  <c r="H75" i="1"/>
  <c r="I77" i="1"/>
  <c r="H76" i="1"/>
  <c r="I78" i="1"/>
  <c r="I79" i="1"/>
  <c r="H77" i="1"/>
  <c r="I80" i="1"/>
  <c r="H78" i="1"/>
  <c r="I81" i="1"/>
  <c r="H79" i="1"/>
  <c r="I82" i="1"/>
  <c r="H80" i="1"/>
  <c r="H81" i="1"/>
  <c r="I83" i="1"/>
  <c r="H82" i="1"/>
  <c r="I84" i="1"/>
  <c r="I85" i="1"/>
  <c r="H83" i="1"/>
  <c r="I86" i="1"/>
  <c r="H84" i="1"/>
  <c r="I87" i="1"/>
  <c r="H85" i="1"/>
  <c r="I88" i="1"/>
  <c r="H86" i="1"/>
  <c r="I89" i="1"/>
  <c r="H87" i="1"/>
  <c r="H88" i="1"/>
  <c r="I90" i="1"/>
  <c r="H89" i="1"/>
  <c r="I91" i="1"/>
  <c r="H90" i="1"/>
  <c r="I92" i="1"/>
  <c r="I93" i="1"/>
  <c r="H91" i="1"/>
  <c r="I94" i="1"/>
  <c r="H92" i="1"/>
  <c r="H93" i="1"/>
  <c r="I95" i="1"/>
  <c r="H94" i="1"/>
  <c r="I96" i="1"/>
  <c r="I97" i="1"/>
  <c r="H95" i="1"/>
  <c r="I98" i="1"/>
  <c r="H96" i="1"/>
  <c r="I99" i="1"/>
  <c r="H97" i="1"/>
  <c r="I100" i="1"/>
  <c r="H98" i="1"/>
  <c r="I101" i="1"/>
  <c r="H99" i="1"/>
  <c r="I102" i="1"/>
  <c r="H100" i="1"/>
  <c r="H101" i="1"/>
  <c r="I103" i="1"/>
  <c r="H102" i="1"/>
  <c r="I104" i="1"/>
  <c r="I105" i="1"/>
  <c r="H103" i="1"/>
  <c r="H104" i="1"/>
  <c r="I106" i="1"/>
  <c r="H105" i="1"/>
  <c r="I107" i="1"/>
  <c r="H106" i="1"/>
  <c r="I108" i="1"/>
  <c r="H107" i="1"/>
  <c r="I109" i="1"/>
  <c r="I110" i="1"/>
  <c r="H108" i="1"/>
  <c r="H109" i="1"/>
  <c r="I111" i="1"/>
  <c r="I124" i="1"/>
  <c r="H122" i="1"/>
  <c r="I125" i="1"/>
  <c r="H123" i="1"/>
  <c r="H124" i="1"/>
  <c r="I126" i="1"/>
  <c r="H125" i="1"/>
  <c r="I127" i="1"/>
  <c r="H126" i="1"/>
  <c r="I128" i="1"/>
  <c r="H127" i="1"/>
  <c r="I129" i="1"/>
  <c r="H128" i="1"/>
  <c r="I130" i="1"/>
  <c r="I133" i="1"/>
  <c r="H131" i="1"/>
  <c r="I134" i="1"/>
  <c r="H132" i="1"/>
  <c r="I135" i="1"/>
  <c r="H133" i="1"/>
  <c r="I136" i="1"/>
  <c r="H134" i="1"/>
  <c r="H135" i="1"/>
  <c r="I137" i="1"/>
  <c r="H136" i="1"/>
  <c r="I138" i="1"/>
  <c r="I31" i="1"/>
  <c r="H30" i="1"/>
  <c r="I32" i="1"/>
  <c r="H31" i="1"/>
  <c r="I33" i="1"/>
  <c r="H32" i="1"/>
  <c r="I34" i="1"/>
  <c r="H33" i="1"/>
  <c r="I35" i="1"/>
  <c r="I36" i="1"/>
  <c r="H34" i="1"/>
  <c r="I37" i="1"/>
  <c r="H35" i="1"/>
  <c r="H36" i="1"/>
  <c r="I38" i="1"/>
  <c r="I39" i="1"/>
  <c r="H37" i="1"/>
  <c r="I40" i="1"/>
  <c r="H38" i="1"/>
  <c r="I41" i="1"/>
  <c r="H39" i="1"/>
  <c r="H40" i="1"/>
  <c r="I42" i="1"/>
  <c r="H41" i="1"/>
  <c r="I43" i="1"/>
  <c r="H44" i="1"/>
  <c r="I46" i="1"/>
  <c r="I47" i="1"/>
  <c r="H45" i="1"/>
  <c r="I48" i="1"/>
  <c r="H46" i="1"/>
  <c r="I49" i="1"/>
  <c r="H47" i="1"/>
  <c r="I50" i="1"/>
  <c r="H48" i="1"/>
  <c r="H49" i="1"/>
  <c r="I51" i="1"/>
  <c r="H50" i="1"/>
  <c r="I52" i="1"/>
  <c r="I53" i="1"/>
  <c r="H51" i="1"/>
  <c r="H52" i="1"/>
  <c r="I54" i="1"/>
  <c r="H53" i="1"/>
  <c r="I55" i="1"/>
  <c r="H54" i="1"/>
  <c r="I56" i="1"/>
  <c r="H55" i="1"/>
  <c r="I57" i="1"/>
  <c r="H56" i="1"/>
  <c r="I58" i="1"/>
  <c r="H57" i="1"/>
  <c r="I59" i="1"/>
  <c r="I60" i="1"/>
  <c r="H58" i="1"/>
  <c r="I61" i="1"/>
  <c r="H59" i="1"/>
  <c r="I62" i="1"/>
  <c r="H60" i="1"/>
  <c r="I63" i="1"/>
  <c r="H61" i="1"/>
  <c r="I64" i="1"/>
  <c r="H62" i="1"/>
  <c r="I65" i="1"/>
  <c r="H63" i="1"/>
  <c r="I66" i="1"/>
  <c r="H64" i="1"/>
  <c r="H14" i="1"/>
  <c r="H13" i="1"/>
  <c r="H11" i="1"/>
  <c r="I12" i="1"/>
  <c r="G23" i="1"/>
  <c r="G22" i="1"/>
  <c r="G21" i="1"/>
  <c r="G20" i="1"/>
  <c r="I19" i="1"/>
  <c r="G19" i="1"/>
  <c r="G18" i="1"/>
  <c r="G17" i="1"/>
  <c r="G16" i="1"/>
  <c r="G15" i="1"/>
  <c r="G14" i="1"/>
  <c r="G13" i="1"/>
  <c r="G12" i="1"/>
  <c r="G11" i="1"/>
  <c r="G10" i="1"/>
  <c r="G4" i="1"/>
  <c r="G3" i="1"/>
  <c r="G2" i="1"/>
  <c r="G9" i="1"/>
  <c r="G8" i="1"/>
  <c r="G7" i="1"/>
  <c r="G6" i="1"/>
  <c r="G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<sst xmlns="http://schemas.openxmlformats.org/spreadsheetml/2006/main" count="1453" uniqueCount="347">
  <si>
    <t>ID_REF</t>
  </si>
  <si>
    <t>Tema_Principal</t>
  </si>
  <si>
    <t>Subtema</t>
  </si>
  <si>
    <t>Libro</t>
  </si>
  <si>
    <t>Capítulo</t>
  </si>
  <si>
    <t>Versículo</t>
  </si>
  <si>
    <t>Texto_Verso</t>
  </si>
  <si>
    <t>ID_Siguiente</t>
  </si>
  <si>
    <t>ID_Anterior</t>
  </si>
  <si>
    <t>Ideas</t>
  </si>
  <si>
    <t>Tema Thompson</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</si>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</sst>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b/>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lef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cellXfs>
  <cellStyles count="1">
    <cellStyle name="Normal" xfId="0" builtinId="0"/>
  </cellStyles>
  <dxfs count="14">
    <dxf>
      <alignment horizontal="center" textRotation="0" wrapText="1"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L821" totalsRowShown="0" headerRowDxfId="0">
  <autoFilter ref="A1:L821" xr:uid="{0F534DC0-C216-4594-8648-9D4F0B999606}"/>
  <tableColumns count="12">
    <tableColumn id="1" xr3:uid="{9233FEBF-F03D-484B-AEC3-C9958016F8CF}" name="ID_REF" dataDxfId="13">
      <calculatedColumnFormula>IF(BD_Versos[[#This Row],[Tema_Principal]]="","",ROW(BD_Versos[[#This Row],[Tema_Principal]])-1)</calculatedColumnFormula>
    </tableColumn>
    <tableColumn id="2" xr3:uid="{9BF3E82A-BAEF-460A-8441-159B13B2B711}" name="Tema_Principal" dataDxfId="12"/>
    <tableColumn id="3" xr3:uid="{E55C2286-2AF8-47BB-BE46-6959CD479D5F}" name="Subtema" dataDxfId="11"/>
    <tableColumn id="4" xr3:uid="{9C344D3B-4DCB-4FC8-A47B-9B155BC0E605}" name="Libro" dataDxfId="10"/>
    <tableColumn id="5" xr3:uid="{91586F71-340B-477B-AF86-FB03253FA9EB}" name="Capítulo" dataDxfId="9"/>
    <tableColumn id="6" xr3:uid="{B613B809-F7FC-4DF1-978A-8B975B3DD39F}" name="Versículo" dataDxfId="8"/>
    <tableColumn id="7" xr3:uid="{5857187A-B955-4686-BB3F-CC18817AE6AC}" name="Texto_Verso" dataDxfId="7">
      <calculatedColumnFormula array="1">IF(OR(BD_Versos[[#This Row],[Libro]]="",BD_Versos[[#This Row],[Capítulo]]="",BD_Versos[[#This Row],[Versículo]]=""),"",ExtraerPasaje(_xlfn.CONCAT(BD_Versos[[#This Row],[Libro]],BD_Versos[[#This Row],[Capítulo]],":",BD_Versos[[#This Row],[Versículo]])))</calculatedColumnFormula>
    </tableColumn>
    <tableColumn id="8" xr3:uid="{DBA4B25A-A899-4063-BDD5-6144F9C3DF4F}" name="ID_Siguiente" dataDxfId="6"/>
    <tableColumn id="9" xr3:uid="{CB0F52B0-64FC-4E8C-892D-E101CC1A6074}" name="ID_Anterior" dataDxfId="5"/>
    <tableColumn id="10" xr3:uid="{BF2E7E30-FE62-4395-8D0A-9F52201B59F1}" name="Ideas" dataDxfId="4"/>
    <tableColumn id="11" xr3:uid="{D22C3582-677F-4611-A2EA-2F835F2610E3}" name="Tema Thompson" dataDxfId="3"/>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2">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11</v>
      </c>
      <c r="B5" t="s">
        <v>26</v>
      </c>
      <c r="C5" t="s">
        <v>27</v>
      </c>
      <c r="D5">
        <v>12</v>
      </c>
      <c r="E5" t="s">
        <v>28</v>
      </c>
      <c r="F5" s="8" t="s">
        <v>168</v>
      </c>
    </row>
    <row r="6" spans="1:6" ht="45" x14ac:dyDescent="0.25">
      <c r="B6" t="s">
        <v>19</v>
      </c>
      <c r="C6" t="s">
        <v>20</v>
      </c>
      <c r="D6">
        <v>2</v>
      </c>
      <c r="E6">
        <v>16</v>
      </c>
      <c r="F6" s="8" t="s">
        <v>169</v>
      </c>
    </row>
    <row r="7" spans="1:6" ht="30" x14ac:dyDescent="0.25">
      <c r="B7" t="s">
        <v>22</v>
      </c>
      <c r="C7" t="s">
        <v>23</v>
      </c>
      <c r="D7">
        <v>2</v>
      </c>
      <c r="E7">
        <v>5</v>
      </c>
      <c r="F7" s="8" t="s">
        <v>170</v>
      </c>
    </row>
    <row r="8" spans="1:6" ht="45" x14ac:dyDescent="0.25">
      <c r="B8" t="s">
        <v>17</v>
      </c>
      <c r="C8" t="s">
        <v>18</v>
      </c>
      <c r="D8">
        <v>2</v>
      </c>
      <c r="E8">
        <v>2</v>
      </c>
      <c r="F8" s="8" t="s">
        <v>171</v>
      </c>
    </row>
    <row r="9" spans="1:6" ht="60" x14ac:dyDescent="0.25">
      <c r="B9" t="s">
        <v>24</v>
      </c>
      <c r="C9" t="s">
        <v>23</v>
      </c>
      <c r="D9">
        <v>4</v>
      </c>
      <c r="E9" t="s">
        <v>25</v>
      </c>
      <c r="F9" s="8" t="s">
        <v>172</v>
      </c>
    </row>
    <row r="10" spans="1:6" ht="30" x14ac:dyDescent="0.25">
      <c r="B10" t="s">
        <v>21</v>
      </c>
      <c r="C10" t="s">
        <v>20</v>
      </c>
      <c r="D10">
        <v>3</v>
      </c>
      <c r="E10">
        <v>14</v>
      </c>
      <c r="F10" s="8" t="s">
        <v>173</v>
      </c>
    </row>
    <row r="11" spans="1:6" ht="90" x14ac:dyDescent="0.25">
      <c r="B11" t="s">
        <v>14</v>
      </c>
      <c r="C11" t="s">
        <v>15</v>
      </c>
      <c r="D11">
        <v>9</v>
      </c>
      <c r="E11" t="s">
        <v>16</v>
      </c>
      <c r="F11" s="8" t="s">
        <v>174</v>
      </c>
    </row>
    <row r="12" spans="1:6" ht="60" x14ac:dyDescent="0.25">
      <c r="B12" t="s">
        <v>12</v>
      </c>
      <c r="C12" t="s">
        <v>13</v>
      </c>
      <c r="D12">
        <v>20</v>
      </c>
      <c r="E12">
        <v>24</v>
      </c>
      <c r="F12" s="8" t="s">
        <v>175</v>
      </c>
    </row>
    <row r="13" spans="1:6" ht="60" x14ac:dyDescent="0.25">
      <c r="A13" t="s">
        <v>29</v>
      </c>
      <c r="B13" t="s">
        <v>166</v>
      </c>
      <c r="C13" t="s">
        <v>15</v>
      </c>
      <c r="D13">
        <v>7</v>
      </c>
      <c r="E13" t="s">
        <v>35</v>
      </c>
      <c r="F13" s="8" t="s">
        <v>176</v>
      </c>
    </row>
    <row r="14" spans="1:6" ht="30" x14ac:dyDescent="0.25">
      <c r="C14" t="s">
        <v>36</v>
      </c>
      <c r="D14">
        <v>2</v>
      </c>
      <c r="E14" t="s">
        <v>37</v>
      </c>
      <c r="F14" s="8" t="s">
        <v>177</v>
      </c>
    </row>
    <row r="15" spans="1:6" ht="45" x14ac:dyDescent="0.25">
      <c r="D15">
        <v>11</v>
      </c>
      <c r="E15" t="s">
        <v>38</v>
      </c>
      <c r="F15" s="8" t="s">
        <v>178</v>
      </c>
    </row>
    <row r="16" spans="1:6" ht="30" x14ac:dyDescent="0.25">
      <c r="C16" t="s">
        <v>40</v>
      </c>
      <c r="D16">
        <v>2</v>
      </c>
      <c r="E16" t="s">
        <v>41</v>
      </c>
      <c r="F16" s="8" t="s">
        <v>179</v>
      </c>
    </row>
    <row r="17" spans="1:6" ht="45" x14ac:dyDescent="0.25">
      <c r="C17" t="s">
        <v>42</v>
      </c>
      <c r="D17">
        <v>12</v>
      </c>
      <c r="E17" t="s">
        <v>41</v>
      </c>
      <c r="F17" s="8" t="s">
        <v>180</v>
      </c>
    </row>
    <row r="18" spans="1:6" ht="30" x14ac:dyDescent="0.25">
      <c r="D18">
        <v>20</v>
      </c>
      <c r="E18" t="s">
        <v>43</v>
      </c>
      <c r="F18" s="8" t="s">
        <v>181</v>
      </c>
    </row>
    <row r="19" spans="1:6" ht="30" x14ac:dyDescent="0.25">
      <c r="C19" t="s">
        <v>39</v>
      </c>
      <c r="D19">
        <v>6</v>
      </c>
      <c r="E19" t="s">
        <v>37</v>
      </c>
      <c r="F19" s="8" t="s">
        <v>182</v>
      </c>
    </row>
    <row r="20" spans="1:6" ht="30" x14ac:dyDescent="0.25">
      <c r="C20" t="s">
        <v>33</v>
      </c>
      <c r="D20">
        <v>4</v>
      </c>
      <c r="E20" t="s">
        <v>34</v>
      </c>
      <c r="F20" s="8" t="s">
        <v>183</v>
      </c>
    </row>
    <row r="21" spans="1:6" ht="45" x14ac:dyDescent="0.25">
      <c r="C21" t="s">
        <v>30</v>
      </c>
      <c r="D21">
        <v>4</v>
      </c>
      <c r="E21" t="s">
        <v>31</v>
      </c>
      <c r="F21" s="8" t="s">
        <v>184</v>
      </c>
    </row>
    <row r="22" spans="1:6" ht="45" x14ac:dyDescent="0.25">
      <c r="D22">
        <v>8</v>
      </c>
      <c r="E22" t="s">
        <v>32</v>
      </c>
      <c r="F22" s="8" t="s">
        <v>185</v>
      </c>
    </row>
    <row r="23" spans="1:6" ht="45" x14ac:dyDescent="0.25">
      <c r="A23" t="s">
        <v>44</v>
      </c>
      <c r="B23" t="s">
        <v>164</v>
      </c>
      <c r="C23" t="s">
        <v>102</v>
      </c>
      <c r="D23">
        <v>5</v>
      </c>
      <c r="E23" t="s">
        <v>108</v>
      </c>
      <c r="F23" s="8" t="s">
        <v>186</v>
      </c>
    </row>
    <row r="24" spans="1:6" ht="30" x14ac:dyDescent="0.25">
      <c r="C24" t="s">
        <v>100</v>
      </c>
      <c r="D24">
        <v>5</v>
      </c>
      <c r="E24" t="s">
        <v>118</v>
      </c>
      <c r="F24" s="8" t="s">
        <v>187</v>
      </c>
    </row>
    <row r="25" spans="1:6" ht="30" x14ac:dyDescent="0.25">
      <c r="C25" t="s">
        <v>58</v>
      </c>
      <c r="D25">
        <v>13</v>
      </c>
      <c r="E25" t="s">
        <v>118</v>
      </c>
      <c r="F25" s="8" t="s">
        <v>188</v>
      </c>
    </row>
    <row r="26" spans="1:6" ht="30" x14ac:dyDescent="0.25">
      <c r="C26" t="s">
        <v>39</v>
      </c>
      <c r="D26">
        <v>4</v>
      </c>
      <c r="E26" t="s">
        <v>51</v>
      </c>
      <c r="F26" s="8" t="s">
        <v>189</v>
      </c>
    </row>
    <row r="27" spans="1:6" ht="30" x14ac:dyDescent="0.25">
      <c r="D27">
        <v>6</v>
      </c>
      <c r="E27" t="s">
        <v>37</v>
      </c>
      <c r="F27" s="8" t="s">
        <v>182</v>
      </c>
    </row>
    <row r="28" spans="1:6" ht="30" x14ac:dyDescent="0.25">
      <c r="C28" t="s">
        <v>33</v>
      </c>
      <c r="D28">
        <v>4</v>
      </c>
      <c r="E28" t="s">
        <v>118</v>
      </c>
      <c r="F28" s="8" t="s">
        <v>190</v>
      </c>
    </row>
    <row r="29" spans="1:6" ht="30" x14ac:dyDescent="0.25">
      <c r="C29" t="s">
        <v>50</v>
      </c>
      <c r="D29">
        <v>4</v>
      </c>
      <c r="E29" t="s">
        <v>119</v>
      </c>
      <c r="F29" s="8" t="s">
        <v>191</v>
      </c>
    </row>
    <row r="30" spans="1:6" x14ac:dyDescent="0.25">
      <c r="C30" t="s">
        <v>99</v>
      </c>
      <c r="D30">
        <v>4</v>
      </c>
      <c r="E30" t="s">
        <v>43</v>
      </c>
      <c r="F30" s="8" t="s">
        <v>192</v>
      </c>
    </row>
    <row r="31" spans="1:6" ht="30" x14ac:dyDescent="0.25">
      <c r="B31" t="s">
        <v>159</v>
      </c>
      <c r="C31" t="s">
        <v>36</v>
      </c>
      <c r="D31">
        <v>2</v>
      </c>
      <c r="E31" t="s">
        <v>37</v>
      </c>
      <c r="F31" s="8" t="s">
        <v>177</v>
      </c>
    </row>
    <row r="32" spans="1:6" ht="30" x14ac:dyDescent="0.25">
      <c r="D32">
        <v>11</v>
      </c>
      <c r="E32" t="s">
        <v>47</v>
      </c>
      <c r="F32" s="8" t="s">
        <v>193</v>
      </c>
    </row>
    <row r="33" spans="2:6" ht="60" x14ac:dyDescent="0.25">
      <c r="C33" t="s">
        <v>42</v>
      </c>
      <c r="D33">
        <v>13</v>
      </c>
      <c r="E33" t="s">
        <v>47</v>
      </c>
      <c r="F33" s="8" t="s">
        <v>194</v>
      </c>
    </row>
    <row r="34" spans="2:6" ht="75" x14ac:dyDescent="0.25">
      <c r="D34">
        <v>19</v>
      </c>
      <c r="E34" t="s">
        <v>117</v>
      </c>
      <c r="F34" s="8" t="s">
        <v>195</v>
      </c>
    </row>
    <row r="35" spans="2:6" ht="75" x14ac:dyDescent="0.25">
      <c r="D35">
        <v>20</v>
      </c>
      <c r="E35" t="s">
        <v>25</v>
      </c>
      <c r="F35" s="8" t="s">
        <v>196</v>
      </c>
    </row>
    <row r="36" spans="2:6" ht="30" x14ac:dyDescent="0.25">
      <c r="C36" t="s">
        <v>46</v>
      </c>
      <c r="D36">
        <v>3</v>
      </c>
      <c r="E36" t="s">
        <v>35</v>
      </c>
      <c r="F36" s="8" t="s">
        <v>197</v>
      </c>
    </row>
    <row r="37" spans="2:6" ht="75" x14ac:dyDescent="0.25">
      <c r="C37" t="s">
        <v>91</v>
      </c>
      <c r="D37">
        <v>8</v>
      </c>
      <c r="E37" t="s">
        <v>143</v>
      </c>
      <c r="F37" s="8" t="s">
        <v>198</v>
      </c>
    </row>
    <row r="38" spans="2:6" ht="30" x14ac:dyDescent="0.25">
      <c r="C38" t="s">
        <v>30</v>
      </c>
      <c r="D38">
        <v>1</v>
      </c>
      <c r="E38" t="s">
        <v>113</v>
      </c>
      <c r="F38" s="8" t="s">
        <v>199</v>
      </c>
    </row>
    <row r="39" spans="2:6" ht="45" x14ac:dyDescent="0.25">
      <c r="C39" t="s">
        <v>50</v>
      </c>
      <c r="D39">
        <v>4</v>
      </c>
      <c r="E39" t="s">
        <v>34</v>
      </c>
      <c r="F39" s="8" t="s">
        <v>200</v>
      </c>
    </row>
    <row r="40" spans="2:6" ht="75" x14ac:dyDescent="0.25">
      <c r="B40" t="s">
        <v>120</v>
      </c>
      <c r="C40" t="s">
        <v>36</v>
      </c>
      <c r="D40">
        <v>4</v>
      </c>
      <c r="E40" t="s">
        <v>130</v>
      </c>
      <c r="F40" s="8" t="s">
        <v>201</v>
      </c>
    </row>
    <row r="41" spans="2:6" ht="30" x14ac:dyDescent="0.25">
      <c r="C41" t="s">
        <v>40</v>
      </c>
      <c r="D41">
        <v>2</v>
      </c>
      <c r="E41" t="s">
        <v>41</v>
      </c>
      <c r="F41" s="8" t="s">
        <v>179</v>
      </c>
    </row>
    <row r="42" spans="2:6" ht="30" x14ac:dyDescent="0.25">
      <c r="C42" t="s">
        <v>23</v>
      </c>
      <c r="D42">
        <v>2</v>
      </c>
      <c r="E42" t="s">
        <v>51</v>
      </c>
      <c r="F42" s="8" t="s">
        <v>202</v>
      </c>
    </row>
    <row r="43" spans="2:6" ht="30" x14ac:dyDescent="0.25">
      <c r="C43" t="s">
        <v>42</v>
      </c>
      <c r="D43">
        <v>11</v>
      </c>
      <c r="E43" t="s">
        <v>43</v>
      </c>
      <c r="F43" s="8" t="s">
        <v>203</v>
      </c>
    </row>
    <row r="44" spans="2:6" ht="45" x14ac:dyDescent="0.25">
      <c r="D44">
        <v>13</v>
      </c>
      <c r="E44" t="s">
        <v>49</v>
      </c>
      <c r="F44" s="8" t="s">
        <v>204</v>
      </c>
    </row>
    <row r="45" spans="2:6" ht="45" x14ac:dyDescent="0.25">
      <c r="E45" t="s">
        <v>43</v>
      </c>
      <c r="F45" s="8" t="s">
        <v>205</v>
      </c>
    </row>
    <row r="46" spans="2:6" ht="30" x14ac:dyDescent="0.25">
      <c r="C46" t="s">
        <v>94</v>
      </c>
      <c r="D46">
        <v>1</v>
      </c>
      <c r="E46" t="s">
        <v>113</v>
      </c>
      <c r="F46" s="8" t="s">
        <v>206</v>
      </c>
    </row>
    <row r="47" spans="2:6" ht="60" x14ac:dyDescent="0.25">
      <c r="C47" t="s">
        <v>39</v>
      </c>
      <c r="D47">
        <v>6</v>
      </c>
      <c r="E47" t="s">
        <v>110</v>
      </c>
      <c r="F47" s="8" t="s">
        <v>207</v>
      </c>
    </row>
    <row r="48" spans="2:6" ht="45" x14ac:dyDescent="0.25">
      <c r="C48" t="s">
        <v>27</v>
      </c>
      <c r="D48">
        <v>2</v>
      </c>
      <c r="E48" t="s">
        <v>47</v>
      </c>
      <c r="F48" s="8" t="s">
        <v>208</v>
      </c>
    </row>
    <row r="49" spans="2:6" ht="60" x14ac:dyDescent="0.25">
      <c r="C49" t="s">
        <v>13</v>
      </c>
      <c r="D49">
        <v>26</v>
      </c>
      <c r="E49" t="s">
        <v>108</v>
      </c>
      <c r="F49" s="8" t="s">
        <v>209</v>
      </c>
    </row>
    <row r="50" spans="2:6" ht="45" x14ac:dyDescent="0.25">
      <c r="C50" t="s">
        <v>48</v>
      </c>
      <c r="D50">
        <v>1</v>
      </c>
      <c r="E50" t="s">
        <v>110</v>
      </c>
      <c r="F50" s="8" t="s">
        <v>210</v>
      </c>
    </row>
    <row r="51" spans="2:6" ht="30" x14ac:dyDescent="0.25">
      <c r="C51" t="s">
        <v>33</v>
      </c>
      <c r="D51">
        <v>4</v>
      </c>
      <c r="E51" t="s">
        <v>34</v>
      </c>
      <c r="F51" s="8" t="s">
        <v>183</v>
      </c>
    </row>
    <row r="52" spans="2:6" ht="60" x14ac:dyDescent="0.25">
      <c r="D52">
        <v>8</v>
      </c>
      <c r="E52" t="s">
        <v>111</v>
      </c>
      <c r="F52" s="8" t="s">
        <v>211</v>
      </c>
    </row>
    <row r="53" spans="2:6" ht="30" x14ac:dyDescent="0.25">
      <c r="D53">
        <v>11</v>
      </c>
      <c r="E53" t="s">
        <v>123</v>
      </c>
      <c r="F53" s="8" t="s">
        <v>212</v>
      </c>
    </row>
    <row r="54" spans="2:6" ht="45" x14ac:dyDescent="0.25">
      <c r="D54">
        <v>13</v>
      </c>
      <c r="E54" t="s">
        <v>124</v>
      </c>
      <c r="F54" s="8" t="s">
        <v>213</v>
      </c>
    </row>
    <row r="55" spans="2:6" ht="45" x14ac:dyDescent="0.25">
      <c r="D55">
        <v>22</v>
      </c>
      <c r="E55" t="s">
        <v>125</v>
      </c>
      <c r="F55" s="8" t="s">
        <v>214</v>
      </c>
    </row>
    <row r="56" spans="2:6" ht="45" x14ac:dyDescent="0.25">
      <c r="C56" t="s">
        <v>30</v>
      </c>
      <c r="D56">
        <v>3</v>
      </c>
      <c r="E56" t="s">
        <v>112</v>
      </c>
      <c r="F56" s="8" t="s">
        <v>215</v>
      </c>
    </row>
    <row r="57" spans="2:6" ht="60" x14ac:dyDescent="0.25">
      <c r="D57">
        <v>5</v>
      </c>
      <c r="E57" t="s">
        <v>113</v>
      </c>
      <c r="F57" s="8" t="s">
        <v>216</v>
      </c>
    </row>
    <row r="58" spans="2:6" ht="45" x14ac:dyDescent="0.25">
      <c r="E58" t="s">
        <v>122</v>
      </c>
      <c r="F58" s="8" t="s">
        <v>217</v>
      </c>
    </row>
    <row r="59" spans="2:6" ht="45" x14ac:dyDescent="0.25">
      <c r="D59">
        <v>9</v>
      </c>
      <c r="E59" t="s">
        <v>108</v>
      </c>
      <c r="F59" s="8" t="s">
        <v>218</v>
      </c>
    </row>
    <row r="60" spans="2:6" ht="45" x14ac:dyDescent="0.25">
      <c r="E60" t="s">
        <v>51</v>
      </c>
      <c r="F60" s="8" t="s">
        <v>219</v>
      </c>
    </row>
    <row r="61" spans="2:6" ht="45" x14ac:dyDescent="0.25">
      <c r="C61" t="s">
        <v>50</v>
      </c>
      <c r="D61">
        <v>8</v>
      </c>
      <c r="E61" t="s">
        <v>121</v>
      </c>
      <c r="F61" s="8" t="s">
        <v>220</v>
      </c>
    </row>
    <row r="62" spans="2:6" ht="45" x14ac:dyDescent="0.25">
      <c r="D62">
        <v>12</v>
      </c>
      <c r="E62" t="s">
        <v>111</v>
      </c>
      <c r="F62" s="8" t="s">
        <v>221</v>
      </c>
    </row>
    <row r="63" spans="2:6" x14ac:dyDescent="0.25">
      <c r="B63" t="s">
        <v>45</v>
      </c>
      <c r="C63" t="s">
        <v>96</v>
      </c>
      <c r="D63">
        <v>5</v>
      </c>
      <c r="E63" t="s">
        <v>31</v>
      </c>
      <c r="F63" s="8" t="s">
        <v>222</v>
      </c>
    </row>
    <row r="64" spans="2:6" ht="30" x14ac:dyDescent="0.25">
      <c r="C64" t="s">
        <v>36</v>
      </c>
      <c r="D64">
        <v>11</v>
      </c>
      <c r="E64" t="s">
        <v>47</v>
      </c>
      <c r="F64" s="8" t="s">
        <v>193</v>
      </c>
    </row>
    <row r="65" spans="2:6" ht="30" x14ac:dyDescent="0.25">
      <c r="C65" t="s">
        <v>42</v>
      </c>
      <c r="D65">
        <v>9</v>
      </c>
      <c r="E65" t="s">
        <v>37</v>
      </c>
      <c r="F65" s="8" t="s">
        <v>223</v>
      </c>
    </row>
    <row r="66" spans="2:6" ht="30" x14ac:dyDescent="0.25">
      <c r="D66">
        <v>20</v>
      </c>
      <c r="E66" t="s">
        <v>49</v>
      </c>
      <c r="F66" s="8" t="s">
        <v>224</v>
      </c>
    </row>
    <row r="67" spans="2:6" ht="30" x14ac:dyDescent="0.25">
      <c r="E67" t="s">
        <v>43</v>
      </c>
      <c r="F67" s="8" t="s">
        <v>181</v>
      </c>
    </row>
    <row r="68" spans="2:6" ht="60" x14ac:dyDescent="0.25">
      <c r="C68" t="s">
        <v>46</v>
      </c>
      <c r="D68">
        <v>3</v>
      </c>
      <c r="E68" t="s">
        <v>47</v>
      </c>
      <c r="F68" s="8" t="s">
        <v>225</v>
      </c>
    </row>
    <row r="69" spans="2:6" ht="30" x14ac:dyDescent="0.25">
      <c r="C69" t="s">
        <v>48</v>
      </c>
      <c r="D69">
        <v>1</v>
      </c>
      <c r="E69" t="s">
        <v>34</v>
      </c>
      <c r="F69" s="8" t="s">
        <v>226</v>
      </c>
    </row>
    <row r="70" spans="2:6" ht="30" x14ac:dyDescent="0.25">
      <c r="D70">
        <v>2</v>
      </c>
      <c r="E70" t="s">
        <v>49</v>
      </c>
      <c r="F70" s="8" t="s">
        <v>227</v>
      </c>
    </row>
    <row r="71" spans="2:6" ht="60" x14ac:dyDescent="0.25">
      <c r="C71" t="s">
        <v>105</v>
      </c>
      <c r="D71">
        <v>1</v>
      </c>
      <c r="E71" t="s">
        <v>41</v>
      </c>
      <c r="F71" s="8" t="s">
        <v>228</v>
      </c>
    </row>
    <row r="72" spans="2:6" ht="45" x14ac:dyDescent="0.25">
      <c r="C72" t="s">
        <v>33</v>
      </c>
      <c r="D72">
        <v>11</v>
      </c>
      <c r="E72" t="s">
        <v>108</v>
      </c>
      <c r="F72" s="8" t="s">
        <v>229</v>
      </c>
    </row>
    <row r="73" spans="2:6" ht="30" x14ac:dyDescent="0.25">
      <c r="C73" t="s">
        <v>50</v>
      </c>
      <c r="D73">
        <v>12</v>
      </c>
      <c r="E73" t="s">
        <v>51</v>
      </c>
      <c r="F73" s="8" t="s">
        <v>230</v>
      </c>
    </row>
    <row r="74" spans="2:6" x14ac:dyDescent="0.25">
      <c r="B74" t="s">
        <v>109</v>
      </c>
      <c r="C74" t="s">
        <v>15</v>
      </c>
      <c r="D74">
        <v>15</v>
      </c>
      <c r="E74" t="s">
        <v>51</v>
      </c>
      <c r="F74" s="8" t="s">
        <v>231</v>
      </c>
    </row>
    <row r="75" spans="2:6" ht="45" x14ac:dyDescent="0.25">
      <c r="C75" t="s">
        <v>102</v>
      </c>
      <c r="D75">
        <v>3</v>
      </c>
      <c r="E75" t="s">
        <v>118</v>
      </c>
      <c r="F75" s="8" t="s">
        <v>232</v>
      </c>
    </row>
    <row r="76" spans="2:6" ht="45" x14ac:dyDescent="0.25">
      <c r="C76" t="s">
        <v>40</v>
      </c>
      <c r="D76">
        <v>2</v>
      </c>
      <c r="E76" t="s">
        <v>118</v>
      </c>
      <c r="F76" s="8" t="s">
        <v>233</v>
      </c>
    </row>
    <row r="77" spans="2:6" ht="45" x14ac:dyDescent="0.25">
      <c r="C77" t="s">
        <v>42</v>
      </c>
      <c r="D77">
        <v>20</v>
      </c>
      <c r="E77" t="s">
        <v>119</v>
      </c>
      <c r="F77" s="8" t="s">
        <v>234</v>
      </c>
    </row>
    <row r="78" spans="2:6" ht="45" x14ac:dyDescent="0.25">
      <c r="C78" t="s">
        <v>46</v>
      </c>
      <c r="D78">
        <v>3</v>
      </c>
      <c r="E78" t="s">
        <v>31</v>
      </c>
      <c r="F78" s="8" t="s">
        <v>235</v>
      </c>
    </row>
    <row r="79" spans="2:6" ht="45" x14ac:dyDescent="0.25">
      <c r="C79" t="s">
        <v>27</v>
      </c>
      <c r="D79">
        <v>2</v>
      </c>
      <c r="E79" t="s">
        <v>47</v>
      </c>
      <c r="F79" s="8" t="s">
        <v>208</v>
      </c>
    </row>
    <row r="80" spans="2:6" ht="45" x14ac:dyDescent="0.25">
      <c r="C80" t="s">
        <v>91</v>
      </c>
      <c r="D80">
        <v>12</v>
      </c>
      <c r="E80" t="s">
        <v>116</v>
      </c>
      <c r="F80" s="8" t="s">
        <v>236</v>
      </c>
    </row>
    <row r="81" spans="2:6" ht="30" x14ac:dyDescent="0.25">
      <c r="D81">
        <v>14</v>
      </c>
      <c r="E81" t="s">
        <v>115</v>
      </c>
      <c r="F81" s="8" t="s">
        <v>237</v>
      </c>
    </row>
    <row r="82" spans="2:6" ht="30" x14ac:dyDescent="0.25">
      <c r="C82" t="s">
        <v>33</v>
      </c>
      <c r="D82">
        <v>4</v>
      </c>
      <c r="E82" t="s">
        <v>113</v>
      </c>
      <c r="F82" s="8" t="s">
        <v>238</v>
      </c>
    </row>
    <row r="83" spans="2:6" ht="30" x14ac:dyDescent="0.25">
      <c r="D83">
        <v>11</v>
      </c>
      <c r="E83" t="s">
        <v>114</v>
      </c>
      <c r="F83" s="8" t="s">
        <v>239</v>
      </c>
    </row>
    <row r="84" spans="2:6" ht="45" x14ac:dyDescent="0.25">
      <c r="C84" t="s">
        <v>30</v>
      </c>
      <c r="D84">
        <v>3</v>
      </c>
      <c r="E84" t="s">
        <v>112</v>
      </c>
      <c r="F84" s="8" t="s">
        <v>215</v>
      </c>
    </row>
    <row r="85" spans="2:6" ht="30" x14ac:dyDescent="0.25">
      <c r="C85" t="s">
        <v>50</v>
      </c>
      <c r="D85">
        <v>2</v>
      </c>
      <c r="E85" t="s">
        <v>110</v>
      </c>
      <c r="F85" s="8" t="s">
        <v>240</v>
      </c>
    </row>
    <row r="86" spans="2:6" ht="30" x14ac:dyDescent="0.25">
      <c r="D86">
        <v>4</v>
      </c>
      <c r="E86" t="s">
        <v>37</v>
      </c>
      <c r="F86" s="8" t="s">
        <v>241</v>
      </c>
    </row>
    <row r="87" spans="2:6" ht="45" x14ac:dyDescent="0.25">
      <c r="D87">
        <v>12</v>
      </c>
      <c r="E87" t="s">
        <v>111</v>
      </c>
      <c r="F87" s="8" t="s">
        <v>221</v>
      </c>
    </row>
    <row r="88" spans="2:6" ht="30" x14ac:dyDescent="0.25">
      <c r="C88" t="s">
        <v>92</v>
      </c>
      <c r="D88">
        <v>16</v>
      </c>
      <c r="E88" t="s">
        <v>117</v>
      </c>
      <c r="F88" s="8" t="s">
        <v>242</v>
      </c>
    </row>
    <row r="89" spans="2:6" ht="30" x14ac:dyDescent="0.25">
      <c r="B89" t="s">
        <v>133</v>
      </c>
      <c r="C89" t="s">
        <v>134</v>
      </c>
      <c r="D89">
        <v>21</v>
      </c>
      <c r="E89" t="s">
        <v>28</v>
      </c>
      <c r="F89" s="8" t="s">
        <v>243</v>
      </c>
    </row>
    <row r="90" spans="2:6" ht="30" x14ac:dyDescent="0.25">
      <c r="C90" t="s">
        <v>100</v>
      </c>
      <c r="D90">
        <v>5</v>
      </c>
      <c r="E90" t="s">
        <v>118</v>
      </c>
      <c r="F90" s="8" t="s">
        <v>187</v>
      </c>
    </row>
    <row r="91" spans="2:6" ht="30" x14ac:dyDescent="0.25">
      <c r="C91" t="s">
        <v>95</v>
      </c>
      <c r="D91">
        <v>2</v>
      </c>
      <c r="E91" t="s">
        <v>108</v>
      </c>
      <c r="F91" s="8" t="s">
        <v>244</v>
      </c>
    </row>
    <row r="92" spans="2:6" ht="30" x14ac:dyDescent="0.25">
      <c r="C92" t="s">
        <v>36</v>
      </c>
      <c r="D92">
        <v>2</v>
      </c>
      <c r="E92" t="s">
        <v>37</v>
      </c>
      <c r="F92" s="8" t="s">
        <v>177</v>
      </c>
    </row>
    <row r="93" spans="2:6" ht="45" x14ac:dyDescent="0.25">
      <c r="D93">
        <v>11</v>
      </c>
      <c r="E93" t="s">
        <v>38</v>
      </c>
      <c r="F93" s="8" t="s">
        <v>178</v>
      </c>
    </row>
    <row r="94" spans="2:6" ht="60" x14ac:dyDescent="0.25">
      <c r="D94">
        <v>12</v>
      </c>
      <c r="E94" t="s">
        <v>43</v>
      </c>
      <c r="F94" s="8" t="s">
        <v>245</v>
      </c>
    </row>
    <row r="95" spans="2:6" ht="30" x14ac:dyDescent="0.25">
      <c r="C95" t="s">
        <v>23</v>
      </c>
      <c r="D95">
        <v>2</v>
      </c>
      <c r="E95" t="s">
        <v>51</v>
      </c>
      <c r="F95" s="8" t="s">
        <v>202</v>
      </c>
    </row>
    <row r="96" spans="2:6" ht="60" x14ac:dyDescent="0.25">
      <c r="C96" t="s">
        <v>42</v>
      </c>
      <c r="D96">
        <v>2</v>
      </c>
      <c r="E96" t="s">
        <v>119</v>
      </c>
      <c r="F96" s="8" t="s">
        <v>246</v>
      </c>
    </row>
    <row r="97" spans="3:6" ht="75" x14ac:dyDescent="0.25">
      <c r="D97">
        <v>12</v>
      </c>
      <c r="E97" t="s">
        <v>119</v>
      </c>
      <c r="F97" s="8" t="s">
        <v>247</v>
      </c>
    </row>
    <row r="98" spans="3:6" ht="60" x14ac:dyDescent="0.25">
      <c r="E98" t="s">
        <v>110</v>
      </c>
      <c r="F98" s="8" t="s">
        <v>248</v>
      </c>
    </row>
    <row r="99" spans="3:6" ht="45" x14ac:dyDescent="0.25">
      <c r="C99" t="s">
        <v>39</v>
      </c>
      <c r="D99">
        <v>2</v>
      </c>
      <c r="E99" t="s">
        <v>49</v>
      </c>
      <c r="F99" s="8" t="s">
        <v>249</v>
      </c>
    </row>
    <row r="100" spans="3:6" ht="60" x14ac:dyDescent="0.25">
      <c r="C100" t="s">
        <v>46</v>
      </c>
      <c r="D100">
        <v>3</v>
      </c>
      <c r="E100" t="s">
        <v>28</v>
      </c>
      <c r="F100" s="8" t="s">
        <v>250</v>
      </c>
    </row>
    <row r="101" spans="3:6" ht="45" x14ac:dyDescent="0.25">
      <c r="E101" t="s">
        <v>144</v>
      </c>
      <c r="F101" s="8" t="s">
        <v>251</v>
      </c>
    </row>
    <row r="102" spans="3:6" ht="45" x14ac:dyDescent="0.25">
      <c r="C102" t="s">
        <v>13</v>
      </c>
      <c r="D102">
        <v>5</v>
      </c>
      <c r="E102" t="s">
        <v>38</v>
      </c>
      <c r="F102" s="8" t="s">
        <v>252</v>
      </c>
    </row>
    <row r="103" spans="3:6" ht="90" x14ac:dyDescent="0.25">
      <c r="C103" t="s">
        <v>48</v>
      </c>
      <c r="D103">
        <v>1</v>
      </c>
      <c r="E103" t="s">
        <v>146</v>
      </c>
      <c r="F103" s="8" t="s">
        <v>253</v>
      </c>
    </row>
    <row r="104" spans="3:6" ht="45" x14ac:dyDescent="0.25">
      <c r="D104">
        <v>2</v>
      </c>
      <c r="E104" t="s">
        <v>43</v>
      </c>
      <c r="F104" s="8" t="s">
        <v>254</v>
      </c>
    </row>
    <row r="105" spans="3:6" ht="75" x14ac:dyDescent="0.25">
      <c r="C105" t="s">
        <v>91</v>
      </c>
      <c r="D105">
        <v>8</v>
      </c>
      <c r="E105" t="s">
        <v>143</v>
      </c>
      <c r="F105" s="8" t="s">
        <v>198</v>
      </c>
    </row>
    <row r="106" spans="3:6" ht="30" x14ac:dyDescent="0.25">
      <c r="D106">
        <v>13</v>
      </c>
      <c r="E106" t="s">
        <v>49</v>
      </c>
      <c r="F106" s="8" t="s">
        <v>255</v>
      </c>
    </row>
    <row r="107" spans="3:6" ht="30" x14ac:dyDescent="0.25">
      <c r="E107" t="s">
        <v>112</v>
      </c>
      <c r="F107" s="8" t="s">
        <v>256</v>
      </c>
    </row>
    <row r="108" spans="3:6" ht="30" x14ac:dyDescent="0.25">
      <c r="C108" t="s">
        <v>33</v>
      </c>
      <c r="D108">
        <v>4</v>
      </c>
      <c r="E108" t="s">
        <v>38</v>
      </c>
      <c r="F108" s="8" t="s">
        <v>257</v>
      </c>
    </row>
    <row r="109" spans="3:6" ht="45" x14ac:dyDescent="0.25">
      <c r="E109" t="s">
        <v>139</v>
      </c>
      <c r="F109" s="8" t="s">
        <v>258</v>
      </c>
    </row>
    <row r="110" spans="3:6" ht="45" x14ac:dyDescent="0.25">
      <c r="D110">
        <v>8</v>
      </c>
      <c r="E110" t="s">
        <v>110</v>
      </c>
      <c r="F110" s="8" t="s">
        <v>259</v>
      </c>
    </row>
    <row r="111" spans="3:6" ht="45" x14ac:dyDescent="0.25">
      <c r="E111" t="s">
        <v>112</v>
      </c>
      <c r="F111" s="8" t="s">
        <v>260</v>
      </c>
    </row>
    <row r="112" spans="3:6" ht="60" x14ac:dyDescent="0.25">
      <c r="E112" t="s">
        <v>111</v>
      </c>
      <c r="F112" s="8" t="s">
        <v>211</v>
      </c>
    </row>
    <row r="113" spans="3:6" ht="45" x14ac:dyDescent="0.25">
      <c r="D113">
        <v>9</v>
      </c>
      <c r="E113" t="s">
        <v>140</v>
      </c>
      <c r="F113" s="8" t="s">
        <v>261</v>
      </c>
    </row>
    <row r="114" spans="3:6" ht="45" x14ac:dyDescent="0.25">
      <c r="E114" t="s">
        <v>141</v>
      </c>
      <c r="F114" s="8" t="s">
        <v>262</v>
      </c>
    </row>
    <row r="115" spans="3:6" ht="45" x14ac:dyDescent="0.25">
      <c r="D115">
        <v>13</v>
      </c>
      <c r="E115" t="s">
        <v>124</v>
      </c>
      <c r="F115" s="8" t="s">
        <v>213</v>
      </c>
    </row>
    <row r="116" spans="3:6" ht="30" x14ac:dyDescent="0.25">
      <c r="D116">
        <v>22</v>
      </c>
      <c r="E116" t="s">
        <v>38</v>
      </c>
      <c r="F116" s="8" t="s">
        <v>263</v>
      </c>
    </row>
    <row r="117" spans="3:6" ht="45" x14ac:dyDescent="0.25">
      <c r="E117" t="s">
        <v>142</v>
      </c>
      <c r="F117" s="8" t="s">
        <v>264</v>
      </c>
    </row>
    <row r="118" spans="3:6" ht="30" x14ac:dyDescent="0.25">
      <c r="C118" t="s">
        <v>30</v>
      </c>
      <c r="D118">
        <v>1</v>
      </c>
      <c r="E118" t="s">
        <v>51</v>
      </c>
      <c r="F118" s="8" t="s">
        <v>265</v>
      </c>
    </row>
    <row r="119" spans="3:6" ht="45" x14ac:dyDescent="0.25">
      <c r="D119">
        <v>4</v>
      </c>
      <c r="E119" t="s">
        <v>31</v>
      </c>
      <c r="F119" s="8" t="s">
        <v>184</v>
      </c>
    </row>
    <row r="120" spans="3:6" ht="30" x14ac:dyDescent="0.25">
      <c r="D120">
        <v>5</v>
      </c>
      <c r="E120" t="s">
        <v>35</v>
      </c>
      <c r="F120" s="8" t="s">
        <v>266</v>
      </c>
    </row>
    <row r="121" spans="3:6" ht="45" x14ac:dyDescent="0.25">
      <c r="D121">
        <v>9</v>
      </c>
      <c r="E121" t="s">
        <v>117</v>
      </c>
      <c r="F121" s="8" t="s">
        <v>267</v>
      </c>
    </row>
    <row r="122" spans="3:6" ht="45" x14ac:dyDescent="0.25">
      <c r="E122" t="s">
        <v>114</v>
      </c>
      <c r="F122" s="8" t="s">
        <v>268</v>
      </c>
    </row>
    <row r="123" spans="3:6" ht="45" x14ac:dyDescent="0.25">
      <c r="C123" t="s">
        <v>50</v>
      </c>
      <c r="D123">
        <v>4</v>
      </c>
      <c r="E123" t="s">
        <v>28</v>
      </c>
      <c r="F123" s="8" t="s">
        <v>269</v>
      </c>
    </row>
    <row r="124" spans="3:6" ht="30" x14ac:dyDescent="0.25">
      <c r="E124" t="s">
        <v>38</v>
      </c>
      <c r="F124" s="8" t="s">
        <v>270</v>
      </c>
    </row>
    <row r="125" spans="3:6" ht="75" x14ac:dyDescent="0.25">
      <c r="D125">
        <v>8</v>
      </c>
      <c r="E125" t="s">
        <v>136</v>
      </c>
      <c r="F125" s="8" t="s">
        <v>271</v>
      </c>
    </row>
    <row r="126" spans="3:6" ht="45" x14ac:dyDescent="0.25">
      <c r="D126">
        <v>13</v>
      </c>
      <c r="E126" t="s">
        <v>137</v>
      </c>
      <c r="F126" s="8" t="s">
        <v>272</v>
      </c>
    </row>
    <row r="127" spans="3:6" ht="30" x14ac:dyDescent="0.25">
      <c r="E127" t="s">
        <v>138</v>
      </c>
      <c r="F127" s="8" t="s">
        <v>273</v>
      </c>
    </row>
    <row r="128" spans="3:6" ht="60" x14ac:dyDescent="0.25">
      <c r="E128" t="s">
        <v>153</v>
      </c>
      <c r="F128" s="8" t="s">
        <v>274</v>
      </c>
    </row>
    <row r="129" spans="2:6" ht="30" x14ac:dyDescent="0.25">
      <c r="E129" t="s">
        <v>122</v>
      </c>
      <c r="F129" s="8" t="s">
        <v>275</v>
      </c>
    </row>
    <row r="130" spans="2:6" ht="60" x14ac:dyDescent="0.25">
      <c r="D130">
        <v>15</v>
      </c>
      <c r="E130" t="s">
        <v>114</v>
      </c>
      <c r="F130" s="8" t="s">
        <v>276</v>
      </c>
    </row>
    <row r="131" spans="2:6" ht="45" x14ac:dyDescent="0.25">
      <c r="D131">
        <v>17</v>
      </c>
      <c r="E131" t="s">
        <v>31</v>
      </c>
      <c r="F131" s="8" t="s">
        <v>277</v>
      </c>
    </row>
    <row r="132" spans="2:6" x14ac:dyDescent="0.25">
      <c r="C132" t="s">
        <v>71</v>
      </c>
      <c r="D132">
        <v>109</v>
      </c>
      <c r="E132" t="s">
        <v>34</v>
      </c>
      <c r="F132" s="8" t="s">
        <v>278</v>
      </c>
    </row>
    <row r="133" spans="2:6" ht="45" x14ac:dyDescent="0.25">
      <c r="C133" t="s">
        <v>135</v>
      </c>
      <c r="D133">
        <v>3</v>
      </c>
      <c r="E133" t="s">
        <v>28</v>
      </c>
      <c r="F133" s="8" t="s">
        <v>279</v>
      </c>
    </row>
    <row r="134" spans="2:6" ht="30" x14ac:dyDescent="0.25">
      <c r="B134" t="s">
        <v>165</v>
      </c>
      <c r="C134" t="s">
        <v>91</v>
      </c>
      <c r="D134">
        <v>12</v>
      </c>
      <c r="E134" t="s">
        <v>142</v>
      </c>
      <c r="F134" s="8" t="s">
        <v>280</v>
      </c>
    </row>
    <row r="135" spans="2:6" ht="30" x14ac:dyDescent="0.25">
      <c r="D135">
        <v>14</v>
      </c>
      <c r="E135" t="s">
        <v>115</v>
      </c>
      <c r="F135" s="8" t="s">
        <v>237</v>
      </c>
    </row>
    <row r="136" spans="2:6" ht="30" x14ac:dyDescent="0.25">
      <c r="D136">
        <v>16</v>
      </c>
      <c r="E136" t="s">
        <v>37</v>
      </c>
      <c r="F136" s="8" t="s">
        <v>281</v>
      </c>
    </row>
    <row r="137" spans="2:6" ht="45" x14ac:dyDescent="0.25">
      <c r="B137" t="s">
        <v>158</v>
      </c>
      <c r="C137" t="s">
        <v>42</v>
      </c>
      <c r="D137">
        <v>12</v>
      </c>
      <c r="E137" t="s">
        <v>41</v>
      </c>
      <c r="F137" s="8" t="s">
        <v>180</v>
      </c>
    </row>
    <row r="138" spans="2:6" ht="60" x14ac:dyDescent="0.25">
      <c r="D138">
        <v>20</v>
      </c>
      <c r="E138" t="s">
        <v>38</v>
      </c>
      <c r="F138" s="8" t="s">
        <v>282</v>
      </c>
    </row>
    <row r="139" spans="2:6" ht="60" x14ac:dyDescent="0.25">
      <c r="C139" t="s">
        <v>46</v>
      </c>
      <c r="D139">
        <v>3</v>
      </c>
      <c r="E139" t="s">
        <v>47</v>
      </c>
      <c r="F139" s="8" t="s">
        <v>225</v>
      </c>
    </row>
    <row r="140" spans="2:6" x14ac:dyDescent="0.25">
      <c r="C140" t="s">
        <v>33</v>
      </c>
      <c r="D140">
        <v>8</v>
      </c>
      <c r="E140" t="s">
        <v>142</v>
      </c>
      <c r="F140" s="8" t="s">
        <v>283</v>
      </c>
    </row>
    <row r="141" spans="2:6" x14ac:dyDescent="0.25">
      <c r="D141">
        <v>10</v>
      </c>
      <c r="E141" t="s">
        <v>108</v>
      </c>
      <c r="F141" s="8" t="s">
        <v>284</v>
      </c>
    </row>
    <row r="142" spans="2:6" ht="30" x14ac:dyDescent="0.25">
      <c r="C142" t="s">
        <v>30</v>
      </c>
      <c r="D142">
        <v>3</v>
      </c>
      <c r="E142" t="s">
        <v>37</v>
      </c>
      <c r="F142" s="8" t="s">
        <v>285</v>
      </c>
    </row>
    <row r="143" spans="2:6" x14ac:dyDescent="0.25">
      <c r="D143">
        <v>5</v>
      </c>
      <c r="E143" t="s">
        <v>119</v>
      </c>
      <c r="F143" s="8" t="s">
        <v>286</v>
      </c>
    </row>
    <row r="144" spans="2:6" ht="30" x14ac:dyDescent="0.25">
      <c r="C144" t="s">
        <v>50</v>
      </c>
      <c r="D144">
        <v>8</v>
      </c>
      <c r="E144" t="s">
        <v>142</v>
      </c>
      <c r="F144" s="8" t="s">
        <v>287</v>
      </c>
    </row>
    <row r="145" spans="1:6" ht="45" x14ac:dyDescent="0.25">
      <c r="D145">
        <v>12</v>
      </c>
      <c r="E145" t="s">
        <v>111</v>
      </c>
      <c r="F145" s="8" t="s">
        <v>221</v>
      </c>
    </row>
    <row r="146" spans="1:6" ht="45" x14ac:dyDescent="0.25">
      <c r="C146" t="s">
        <v>135</v>
      </c>
      <c r="D146">
        <v>3</v>
      </c>
      <c r="E146" t="s">
        <v>49</v>
      </c>
      <c r="F146" s="8" t="s">
        <v>288</v>
      </c>
    </row>
    <row r="147" spans="1:6" x14ac:dyDescent="0.25">
      <c r="A147" t="s">
        <v>166</v>
      </c>
      <c r="B147" t="s">
        <v>166</v>
      </c>
      <c r="C147" t="s">
        <v>166</v>
      </c>
      <c r="D147" t="s">
        <v>166</v>
      </c>
      <c r="E147" t="s">
        <v>166</v>
      </c>
    </row>
    <row r="148" spans="1:6" x14ac:dyDescent="0.25">
      <c r="A148"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L821"/>
  <sheetViews>
    <sheetView tabSelected="1" zoomScale="80" zoomScaleNormal="80" workbookViewId="0">
      <selection activeCell="G3" sqref="G3"/>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47" style="6" customWidth="1"/>
    <col min="8" max="8" width="14.5703125" style="4" customWidth="1"/>
    <col min="9" max="9" width="13.28515625" style="4" customWidth="1"/>
    <col min="10" max="10" width="53.140625" customWidth="1"/>
    <col min="11" max="11" width="15.7109375" customWidth="1"/>
  </cols>
  <sheetData>
    <row r="1" spans="1:12" s="8" customFormat="1" ht="30" x14ac:dyDescent="0.25">
      <c r="A1" s="12" t="s">
        <v>0</v>
      </c>
      <c r="B1" s="12" t="s">
        <v>1</v>
      </c>
      <c r="C1" s="12" t="s">
        <v>2</v>
      </c>
      <c r="D1" s="12" t="s">
        <v>3</v>
      </c>
      <c r="E1" s="12" t="s">
        <v>4</v>
      </c>
      <c r="F1" s="13" t="s">
        <v>5</v>
      </c>
      <c r="G1" s="12" t="s">
        <v>6</v>
      </c>
      <c r="H1" s="12" t="s">
        <v>7</v>
      </c>
      <c r="I1" s="12" t="s">
        <v>8</v>
      </c>
      <c r="J1" s="14" t="s">
        <v>9</v>
      </c>
      <c r="K1" s="14" t="s">
        <v>10</v>
      </c>
      <c r="L1" s="14" t="s">
        <v>321</v>
      </c>
    </row>
    <row r="2" spans="1:12" ht="75" x14ac:dyDescent="0.25">
      <c r="A2" s="2">
        <f>IF(BD_Versos[[#This Row],[Tema_Principal]]="","",ROW(BD_Versos[[#This Row],[Tema_Principal]])-1)</f>
        <v>1</v>
      </c>
      <c r="B2" s="3" t="s">
        <v>312</v>
      </c>
      <c r="C2" s="2" t="s">
        <v>313</v>
      </c>
      <c r="D2" s="4" t="s">
        <v>13</v>
      </c>
      <c r="E2" s="4">
        <v>20</v>
      </c>
      <c r="F2" s="5">
        <v>24</v>
      </c>
      <c r="G2" s="6" t="str" cm="1">
        <f t="array" ref="G2">IF(OR(BD_Versos[[#This Row],[Libro]]="",BD_Versos[[#This Row],[Capítulo]]="",BD_Versos[[#This Row],[Versículo]]=""),"",ExtraerPasaje(_xlfn.CONCAT(BD_Versos[[#This Row],[Libro]],BD_Versos[[#This Row],[Capítulo]],":",BD_Versos[[#This Row],[Versículo]])))</f>
        <v xml:space="preserve">_x000D_ _x000D_ 24 Pero en ninguna manera estimo(A) mi vida como valiosa para mí mismo, a fin de poder terminar mi carrera[a](B) y el ministerio(C) que recibí del Señor Jesús(D), para dar testimonio(E) solemnemente del evangelio de la gracia de Dios(F). _x000D_ </v>
      </c>
      <c r="H2" s="4">
        <v>2</v>
      </c>
      <c r="J2" s="4" t="s">
        <v>315</v>
      </c>
      <c r="K2" s="4"/>
      <c r="L2" s="4">
        <v>1</v>
      </c>
    </row>
    <row r="3" spans="1:12" ht="120" x14ac:dyDescent="0.25">
      <c r="A3" s="2">
        <f>IF(BD_Versos[[#This Row],[Tema_Principal]]="","",ROW(BD_Versos[[#This Row],[Tema_Principal]])-1)</f>
        <v>2</v>
      </c>
      <c r="B3" s="3" t="s">
        <v>312</v>
      </c>
      <c r="C3" s="2" t="s">
        <v>313</v>
      </c>
      <c r="D3" s="4" t="s">
        <v>15</v>
      </c>
      <c r="E3" s="4">
        <v>9</v>
      </c>
      <c r="F3" s="5" t="s">
        <v>16</v>
      </c>
      <c r="G3" s="6" t="str" cm="1">
        <f t="array" ref="G3">IF(OR(BD_Versos[[#This Row],[Libro]]="",BD_Versos[[#This Row],[Capítulo]]="",BD_Versos[[#This Row],[Versículo]]=""),"",ExtraerPasaje(_xlfn.CONCAT(BD_Versos[[#This Row],[Libro]],BD_Versos[[#This Row],[Capítulo]],":",BD_Versos[[#This Row],[Versículo]])))</f>
        <v xml:space="preserve">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 </v>
      </c>
      <c r="H3" s="4">
        <v>3</v>
      </c>
      <c r="I3" s="4">
        <v>1</v>
      </c>
      <c r="J3" s="2" t="s">
        <v>320</v>
      </c>
      <c r="K3" s="4"/>
      <c r="L3" s="4">
        <v>1</v>
      </c>
    </row>
    <row r="4" spans="1:12" ht="60" x14ac:dyDescent="0.25">
      <c r="A4" s="2">
        <f>IF(BD_Versos[[#This Row],[Tema_Principal]]="","",ROW(BD_Versos[[#This Row],[Tema_Principal]])-1)</f>
        <v>3</v>
      </c>
      <c r="B4" s="3" t="s">
        <v>312</v>
      </c>
      <c r="C4" s="2" t="s">
        <v>313</v>
      </c>
      <c r="D4" s="4" t="s">
        <v>18</v>
      </c>
      <c r="E4" s="4">
        <v>2</v>
      </c>
      <c r="F4" s="5">
        <v>2</v>
      </c>
      <c r="G4" s="6" t="str" cm="1">
        <f t="array" ref="G4">IF(OR(BD_Versos[[#This Row],[Libro]]="",BD_Versos[[#This Row],[Capítulo]]="",BD_Versos[[#This Row],[Versículo]]=""),"",ExtraerPasaje(_xlfn.CONCAT(BD_Versos[[#This Row],[Libro]],BD_Versos[[#This Row],[Capítulo]],":",BD_Versos[[#This Row],[Versículo]])))</f>
        <v xml:space="preserve">_x000D_ _x000D_ 2 Subí por causa de una revelación(A) y les presenté el evangelio(B) que predico entre los gentiles, pero lo hice en privado a los que tenían alta reputación, para cerciorarme de que no corría ni[a] había corrido en vano(C). _x000D_ </v>
      </c>
      <c r="H4" s="4">
        <v>4</v>
      </c>
      <c r="I4" s="4">
        <v>2</v>
      </c>
      <c r="J4" s="4" t="s">
        <v>316</v>
      </c>
      <c r="K4" s="4"/>
      <c r="L4" s="4">
        <v>1</v>
      </c>
    </row>
    <row r="5" spans="1:12" ht="45" x14ac:dyDescent="0.25">
      <c r="A5" s="2">
        <f>IF(BD_Versos[[#This Row],[Tema_Principal]]="","",ROW(BD_Versos[[#This Row],[Tema_Principal]])-1)</f>
        <v>4</v>
      </c>
      <c r="B5" s="3" t="s">
        <v>312</v>
      </c>
      <c r="C5" s="2" t="s">
        <v>313</v>
      </c>
      <c r="D5" s="4" t="s">
        <v>20</v>
      </c>
      <c r="E5" s="4">
        <v>2</v>
      </c>
      <c r="F5" s="5">
        <v>16</v>
      </c>
      <c r="G5" s="6" t="str" cm="1">
        <f t="array" ref="G5">IF(OR(BD_Versos[[#This Row],[Libro]]="",BD_Versos[[#This Row],[Capítulo]]="",BD_Versos[[#This Row],[Versículo]]=""),"",ExtraerPasaje(_xlfn.CONCAT(BD_Versos[[#This Row],[Libro]],BD_Versos[[#This Row],[Capítulo]],":",BD_Versos[[#This Row],[Versículo]])))</f>
        <v xml:space="preserve">_x000D_ _x000D_ 16 sosteniendo firmemente la palabra de vida, a fin de que yo tenga motivo para gloriarme en el día de Cristo(A), ya que no habré corrido en vano(B) ni habré trabajado en vano(C). _x000D_ </v>
      </c>
      <c r="H5" s="4">
        <v>5</v>
      </c>
      <c r="I5" s="4">
        <v>3</v>
      </c>
      <c r="J5" s="4" t="s">
        <v>317</v>
      </c>
      <c r="K5" s="4"/>
      <c r="L5" s="4">
        <v>1</v>
      </c>
    </row>
    <row r="6" spans="1:12" ht="30" x14ac:dyDescent="0.25">
      <c r="A6" s="2">
        <f>IF(BD_Versos[[#This Row],[Tema_Principal]]="","",ROW(BD_Versos[[#This Row],[Tema_Principal]])-1)</f>
        <v>5</v>
      </c>
      <c r="B6" s="3" t="s">
        <v>312</v>
      </c>
      <c r="C6" s="2" t="s">
        <v>313</v>
      </c>
      <c r="D6" s="4" t="s">
        <v>20</v>
      </c>
      <c r="E6" s="4">
        <v>3</v>
      </c>
      <c r="F6" s="5">
        <v>14</v>
      </c>
      <c r="G6" s="6" t="str" cm="1">
        <f t="array" ref="G6">IF(OR(BD_Versos[[#This Row],[Libro]]="",BD_Versos[[#This Row],[Capítulo]]="",BD_Versos[[#This Row],[Versículo]]=""),"",ExtraerPasaje(_xlfn.CONCAT(BD_Versos[[#This Row],[Libro]],BD_Versos[[#This Row],[Capítulo]],":",BD_Versos[[#This Row],[Versículo]])))</f>
        <v xml:space="preserve">_x000D_ _x000D_ 14 prosigo hacia la meta para obtener el premio(A) del supremo llamamiento de Dios(B) en Cristo Jesús(C). _x000D_ </v>
      </c>
      <c r="H6" s="4">
        <v>6</v>
      </c>
      <c r="I6" s="4">
        <v>4</v>
      </c>
      <c r="J6" s="2" t="s">
        <v>320</v>
      </c>
      <c r="K6" s="4"/>
      <c r="L6" s="4">
        <v>1</v>
      </c>
    </row>
    <row r="7" spans="1:12" ht="30" x14ac:dyDescent="0.25">
      <c r="A7" s="2">
        <f>IF(BD_Versos[[#This Row],[Tema_Principal]]="","",ROW(BD_Versos[[#This Row],[Tema_Principal]])-1)</f>
        <v>6</v>
      </c>
      <c r="B7" s="3" t="s">
        <v>312</v>
      </c>
      <c r="C7" s="2" t="s">
        <v>313</v>
      </c>
      <c r="D7" s="4" t="s">
        <v>23</v>
      </c>
      <c r="E7" s="4">
        <v>2</v>
      </c>
      <c r="F7" s="5">
        <v>5</v>
      </c>
      <c r="G7" s="6" t="str" cm="1">
        <f t="array" ref="G7">IF(OR(BD_Versos[[#This Row],[Libro]]="",BD_Versos[[#This Row],[Capítulo]]="",BD_Versos[[#This Row],[Versículo]]=""),"",ExtraerPasaje(_xlfn.CONCAT(BD_Versos[[#This Row],[Libro]],BD_Versos[[#This Row],[Capítulo]],":",BD_Versos[[#This Row],[Versículo]])))</f>
        <v xml:space="preserve">_x000D_ _x000D_ 5 Y también el que[a] compite como atleta(A), no gana el premio[b] si no compite de acuerdo con las reglas[c]. _x000D_ </v>
      </c>
      <c r="H7" s="4">
        <v>7</v>
      </c>
      <c r="I7" s="4">
        <v>5</v>
      </c>
      <c r="J7" s="4" t="s">
        <v>314</v>
      </c>
      <c r="K7" s="4"/>
      <c r="L7" s="4">
        <v>1</v>
      </c>
    </row>
    <row r="8" spans="1:12" ht="75" x14ac:dyDescent="0.25">
      <c r="A8" s="2">
        <f>IF(BD_Versos[[#This Row],[Tema_Principal]]="","",ROW(BD_Versos[[#This Row],[Tema_Principal]])-1)</f>
        <v>7</v>
      </c>
      <c r="B8" s="3" t="s">
        <v>312</v>
      </c>
      <c r="C8" s="2" t="s">
        <v>313</v>
      </c>
      <c r="D8" s="4" t="s">
        <v>23</v>
      </c>
      <c r="E8" s="4">
        <v>4</v>
      </c>
      <c r="F8" s="5" t="s">
        <v>25</v>
      </c>
      <c r="G8" s="6" t="str" cm="1">
        <f t="array" ref="G8">IF(OR(BD_Versos[[#This Row],[Libro]]="",BD_Versos[[#This Row],[Capítulo]]="",BD_Versos[[#This Row],[Versículo]]=""),"",ExtraerPasaje(_xlfn.CONCAT(BD_Versos[[#This Row],[Libro]],BD_Versos[[#This Row],[Capítulo]],":",BD_Versos[[#This Row],[Versículo]])))</f>
        <v xml:space="preserve">_x000D_ _x000D_ 7 He peleado la buena batalla(A), he terminado la carrera(B), he guardado la fe(C). 8 En el futuro me está reservada(D) la corona de justicia(E) que el Señor, el Juez justo, me entregará en aquel día(F); y no solo a mí, sino también a todos los que aman(G) su venida[a](H)._x000D_ </v>
      </c>
      <c r="H8" s="4">
        <v>8</v>
      </c>
      <c r="I8" s="4">
        <v>6</v>
      </c>
      <c r="J8" s="4" t="s">
        <v>318</v>
      </c>
      <c r="K8" s="4"/>
      <c r="L8" s="4">
        <v>1</v>
      </c>
    </row>
    <row r="9" spans="1:12" ht="79.5" customHeight="1" x14ac:dyDescent="0.25">
      <c r="A9" s="2">
        <f>IF(BD_Versos[[#This Row],[Tema_Principal]]="","",ROW(BD_Versos[[#This Row],[Tema_Principal]])-1)</f>
        <v>8</v>
      </c>
      <c r="B9" s="3" t="s">
        <v>312</v>
      </c>
      <c r="C9" s="2" t="s">
        <v>313</v>
      </c>
      <c r="D9" s="4" t="s">
        <v>27</v>
      </c>
      <c r="E9" s="4">
        <v>12</v>
      </c>
      <c r="F9" s="5" t="s">
        <v>28</v>
      </c>
      <c r="G9" s="6" t="str" cm="1">
        <f t="array" ref="G9">IF(OR(BD_Versos[[#This Row],[Libro]]="",BD_Versos[[#This Row],[Capítulo]]="",BD_Versos[[#This Row],[Versículo]]=""),"",ExtraerPasaje(_xlfn.CONCAT(BD_Versos[[#This Row],[Libro]],BD_Versos[[#This Row],[Capítulo]],":",BD_Versos[[#This Row],[Versículo]])))</f>
        <v xml:space="preserve">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 </v>
      </c>
      <c r="I9" s="4">
        <v>7</v>
      </c>
      <c r="J9" s="4" t="s">
        <v>319</v>
      </c>
      <c r="K9" s="4"/>
      <c r="L9" s="4">
        <v>1</v>
      </c>
    </row>
    <row r="10" spans="1:12" ht="59.1" customHeight="1" x14ac:dyDescent="0.25">
      <c r="A10" s="2">
        <f>IF(BD_Versos[[#This Row],[Tema_Principal]]="","",ROW(BD_Versos[[#This Row],[Tema_Principal]])-1)</f>
        <v>9</v>
      </c>
      <c r="B10" s="3" t="s">
        <v>345</v>
      </c>
      <c r="C10" s="3" t="s">
        <v>29</v>
      </c>
      <c r="D10" s="4" t="s">
        <v>30</v>
      </c>
      <c r="E10" s="4">
        <v>4</v>
      </c>
      <c r="F10" s="5" t="s">
        <v>31</v>
      </c>
      <c r="G10" s="6" t="str" cm="1">
        <f t="array" ref="G10">IF(OR(BD_Versos[[#This Row],[Libro]]="",BD_Versos[[#This Row],[Capítulo]]="",BD_Versos[[#This Row],[Versículo]]=""),"",ExtraerPasaje(_xlfn.CONCAT(BD_Versos[[#This Row],[Libro]],BD_Versos[[#This Row],[Capítulo]],":",BD_Versos[[#This Row],[Versículo]])))</f>
        <v xml:space="preserve">_x000D_ _x000D_ 15 Y estos que están junto al camino donde se siembra la palabra, son aquellos que en cuanto la oyen, al instante viene Satanás(A) y se lleva la palabra que se ha sembrado en ellos. _x000D_ </v>
      </c>
      <c r="H10" s="4">
        <f>A11</f>
        <v>10</v>
      </c>
      <c r="J10" s="4" t="s">
        <v>322</v>
      </c>
      <c r="K10" s="4"/>
      <c r="L10" s="4">
        <v>1</v>
      </c>
    </row>
    <row r="11" spans="1:12" ht="66.599999999999994" customHeight="1" x14ac:dyDescent="0.25">
      <c r="A11" s="2">
        <f>IF(BD_Versos[[#This Row],[Tema_Principal]]="","",ROW(BD_Versos[[#This Row],[Tema_Principal]])-1)</f>
        <v>10</v>
      </c>
      <c r="B11" s="3" t="s">
        <v>345</v>
      </c>
      <c r="C11" s="3" t="s">
        <v>29</v>
      </c>
      <c r="D11" s="4" t="s">
        <v>30</v>
      </c>
      <c r="E11" s="4">
        <v>8</v>
      </c>
      <c r="F11" s="5" t="s">
        <v>32</v>
      </c>
      <c r="G11" s="6" t="str" cm="1">
        <f t="array" ref="G11">IF(OR(BD_Versos[[#This Row],[Libro]]="",BD_Versos[[#This Row],[Capítulo]]="",BD_Versos[[#This Row],[Versículo]]=""),"",ExtraerPasaje(_xlfn.CONCAT(BD_Versos[[#This Row],[Libro]],BD_Versos[[#This Row],[Capítulo]],":",BD_Versos[[#This Row],[Versículo]])))</f>
        <v xml:space="preserve">_x000D_ _x000D_ 33 Mas Él volviéndose y mirando a sus discípulos, reprendió a Pedro y le dijo*: ¡Quítate de delante de mí[a], Satanás(A)!, porque no tienes en mente las cosas de Dios, sino las de los hombres._x000D_ </v>
      </c>
      <c r="H11" s="4">
        <f t="shared" ref="H11:H18" si="0">A12</f>
        <v>11</v>
      </c>
      <c r="I11" s="4">
        <f>A10</f>
        <v>9</v>
      </c>
      <c r="J11" s="4" t="s">
        <v>323</v>
      </c>
      <c r="K11" s="4"/>
      <c r="L11" s="4">
        <v>1</v>
      </c>
    </row>
    <row r="12" spans="1:12" ht="47.1" customHeight="1" x14ac:dyDescent="0.25">
      <c r="A12" s="2">
        <f>IF(BD_Versos[[#This Row],[Tema_Principal]]="","",ROW(BD_Versos[[#This Row],[Tema_Principal]])-1)</f>
        <v>11</v>
      </c>
      <c r="B12" s="3" t="s">
        <v>345</v>
      </c>
      <c r="C12" s="3" t="s">
        <v>29</v>
      </c>
      <c r="D12" s="4" t="s">
        <v>33</v>
      </c>
      <c r="E12" s="4">
        <v>4</v>
      </c>
      <c r="F12" s="5" t="s">
        <v>34</v>
      </c>
      <c r="G12" s="6" t="str" cm="1">
        <f t="array" ref="G12">IF(OR(BD_Versos[[#This Row],[Libro]]="",BD_Versos[[#This Row],[Capítulo]]="",BD_Versos[[#This Row],[Versículo]]=""),"",ExtraerPasaje(_xlfn.CONCAT(BD_Versos[[#This Row],[Libro]],BD_Versos[[#This Row],[Capítulo]],":",BD_Versos[[#This Row],[Versículo]])))</f>
        <v xml:space="preserve">_x000D_ _x000D_ 6 Y el diablo le dijo: Todo este dominio y su gloria te daré; pues a mí me ha sido entregado(A), y a quien quiero se lo doy. _x000D_ </v>
      </c>
      <c r="H12" s="4">
        <f t="shared" si="0"/>
        <v>12</v>
      </c>
      <c r="I12" s="4">
        <f t="shared" ref="I12:I19" si="1">A11</f>
        <v>10</v>
      </c>
      <c r="J12" s="4" t="s">
        <v>324</v>
      </c>
      <c r="K12" s="4"/>
      <c r="L12" s="4">
        <v>1</v>
      </c>
    </row>
    <row r="13" spans="1:12" ht="72.599999999999994" customHeight="1" x14ac:dyDescent="0.25">
      <c r="A13" s="2">
        <f>IF(BD_Versos[[#This Row],[Tema_Principal]]="","",ROW(BD_Versos[[#This Row],[Tema_Principal]])-1)</f>
        <v>12</v>
      </c>
      <c r="B13" s="3" t="s">
        <v>345</v>
      </c>
      <c r="C13" s="3" t="s">
        <v>29</v>
      </c>
      <c r="D13" s="4" t="s">
        <v>15</v>
      </c>
      <c r="E13" s="4">
        <v>7</v>
      </c>
      <c r="F13" s="5" t="s">
        <v>35</v>
      </c>
      <c r="G13" s="6" t="str" cm="1">
        <f t="array" ref="G13">IF(OR(BD_Versos[[#This Row],[Libro]]="",BD_Versos[[#This Row],[Capítulo]]="",BD_Versos[[#This Row],[Versículo]]=""),"",ExtraerPasaje(_xlfn.CONCAT(BD_Versos[[#This Row],[Libro]],BD_Versos[[#This Row],[Capítulo]],":",BD_Versos[[#This Row],[Versículo]])))</f>
        <v xml:space="preserve">_x000D_ _x000D_ 5 No os privéis el uno del otro(A), excepto de común acuerdo y por cierto[a] tiempo, para dedicaros a la oración; volved después a juntaros[b] a fin de que Satanás(B) no os tiente por causa de vuestra falta de dominio propio. _x000D_ </v>
      </c>
      <c r="H13" s="4">
        <f t="shared" si="0"/>
        <v>13</v>
      </c>
      <c r="I13" s="4">
        <f t="shared" si="1"/>
        <v>11</v>
      </c>
      <c r="J13" s="4" t="s">
        <v>325</v>
      </c>
      <c r="K13" s="4"/>
      <c r="L13" s="4">
        <v>1</v>
      </c>
    </row>
    <row r="14" spans="1:12" ht="75.95" customHeight="1" x14ac:dyDescent="0.25">
      <c r="A14" s="2">
        <f>IF(BD_Versos[[#This Row],[Tema_Principal]]="","",ROW(BD_Versos[[#This Row],[Tema_Principal]])-1)</f>
        <v>13</v>
      </c>
      <c r="B14" s="3" t="s">
        <v>345</v>
      </c>
      <c r="C14" s="3" t="s">
        <v>29</v>
      </c>
      <c r="D14" s="4" t="s">
        <v>36</v>
      </c>
      <c r="E14" s="4">
        <v>2</v>
      </c>
      <c r="F14" s="5" t="s">
        <v>37</v>
      </c>
      <c r="G14" s="6" t="str" cm="1">
        <f t="array" ref="G14">IF(OR(BD_Versos[[#This Row],[Libro]]="",BD_Versos[[#This Row],[Capítulo]]="",BD_Versos[[#This Row],[Versículo]]=""),"",ExtraerPasaje(_xlfn.CONCAT(BD_Versos[[#This Row],[Libro]],BD_Versos[[#This Row],[Capítulo]],":",BD_Versos[[#This Row],[Versículo]])))</f>
        <v xml:space="preserve">_x000D_ _x000D_ 11 para que Satanás(A) no tome ventaja sobre nosotros, pues no ignoramos sus ardides(B)._x000D_ </v>
      </c>
      <c r="H14" s="4">
        <f t="shared" si="0"/>
        <v>14</v>
      </c>
      <c r="I14" s="4">
        <f t="shared" si="1"/>
        <v>12</v>
      </c>
      <c r="J14" s="4" t="s">
        <v>326</v>
      </c>
      <c r="K14" s="4"/>
      <c r="L14" s="4">
        <v>1</v>
      </c>
    </row>
    <row r="15" spans="1:12" ht="79.5" customHeight="1" x14ac:dyDescent="0.25">
      <c r="A15" s="2">
        <f>IF(BD_Versos[[#This Row],[Tema_Principal]]="","",ROW(BD_Versos[[#This Row],[Tema_Principal]])-1)</f>
        <v>14</v>
      </c>
      <c r="B15" s="3" t="s">
        <v>345</v>
      </c>
      <c r="C15" s="3" t="s">
        <v>29</v>
      </c>
      <c r="D15" s="4" t="s">
        <v>36</v>
      </c>
      <c r="E15" s="4">
        <v>11</v>
      </c>
      <c r="F15" s="5" t="s">
        <v>38</v>
      </c>
      <c r="G15" s="6" t="str" cm="1">
        <f t="array" ref="G15">IF(OR(BD_Versos[[#This Row],[Libro]]="",BD_Versos[[#This Row],[Capítulo]]="",BD_Versos[[#This Row],[Versículo]]=""),"",ExtraerPasaje(_xlfn.CONCAT(BD_Versos[[#This Row],[Libro]],BD_Versos[[#This Row],[Capítulo]],":",BD_Versos[[#This Row],[Versículo]])))</f>
        <v xml:space="preserve">_x000D_ _x000D_ 3 Pero temo que, así como la serpiente con su astucia engañó a Eva(A), vuestras mentes sean desviadas[a] de la sencillez y pureza de la devoción a Cristo. _x000D_ </v>
      </c>
      <c r="H15" s="4">
        <f t="shared" si="0"/>
        <v>15</v>
      </c>
      <c r="I15" s="4">
        <f t="shared" si="1"/>
        <v>13</v>
      </c>
      <c r="J15" s="4" t="s">
        <v>327</v>
      </c>
      <c r="K15" s="4"/>
      <c r="L15" s="4">
        <v>1</v>
      </c>
    </row>
    <row r="16" spans="1:12" ht="52.5" customHeight="1" x14ac:dyDescent="0.25">
      <c r="A16" s="2">
        <f>IF(BD_Versos[[#This Row],[Tema_Principal]]="","",ROW(BD_Versos[[#This Row],[Tema_Principal]])-1)</f>
        <v>15</v>
      </c>
      <c r="B16" s="3" t="s">
        <v>345</v>
      </c>
      <c r="C16" s="3" t="s">
        <v>328</v>
      </c>
      <c r="D16" s="4" t="s">
        <v>39</v>
      </c>
      <c r="E16" s="4">
        <v>6</v>
      </c>
      <c r="F16" s="5" t="s">
        <v>37</v>
      </c>
      <c r="G16" s="6" t="str" cm="1">
        <f t="array" ref="G16">IF(OR(BD_Versos[[#This Row],[Libro]]="",BD_Versos[[#This Row],[Capítulo]]="",BD_Versos[[#This Row],[Versículo]]=""),"",ExtraerPasaje(_xlfn.CONCAT(BD_Versos[[#This Row],[Libro]],BD_Versos[[#This Row],[Capítulo]],":",BD_Versos[[#This Row],[Versículo]])))</f>
        <v xml:space="preserve">_x000D_ _x000D_ 11 Revestíos con[a] toda la armadura de Dios(A) para que podáis estar firmes contra las insidias del diablo(B). _x000D_ </v>
      </c>
      <c r="H16" s="4">
        <f t="shared" si="0"/>
        <v>16</v>
      </c>
      <c r="I16" s="4">
        <f t="shared" si="1"/>
        <v>14</v>
      </c>
      <c r="J16" s="4" t="s">
        <v>329</v>
      </c>
      <c r="K16" s="4"/>
      <c r="L16" s="4">
        <v>1</v>
      </c>
    </row>
    <row r="17" spans="1:12" ht="30.6" customHeight="1" x14ac:dyDescent="0.25">
      <c r="A17" s="2">
        <f>IF(BD_Versos[[#This Row],[Tema_Principal]]="","",ROW(BD_Versos[[#This Row],[Tema_Principal]])-1)</f>
        <v>16</v>
      </c>
      <c r="B17" s="3" t="s">
        <v>345</v>
      </c>
      <c r="C17" s="3" t="s">
        <v>330</v>
      </c>
      <c r="D17" s="4" t="s">
        <v>40</v>
      </c>
      <c r="E17" s="4">
        <v>2</v>
      </c>
      <c r="F17" s="5" t="s">
        <v>41</v>
      </c>
      <c r="G17" s="6" t="str" cm="1">
        <f t="array" ref="G17">IF(OR(BD_Versos[[#This Row],[Libro]]="",BD_Versos[[#This Row],[Capítulo]]="",BD_Versos[[#This Row],[Versículo]]=""),"",ExtraerPasaje(_xlfn.CONCAT(BD_Versos[[#This Row],[Libro]],BD_Versos[[#This Row],[Capítulo]],":",BD_Versos[[#This Row],[Versículo]])))</f>
        <v xml:space="preserve">_x000D_ _x000D_ 9 inicuo cuya venida[a] es conforme a la actividad[b] de Satanás(A), con todo poder y señales[c](B) y prodigios mentirosos[d], _x000D_ </v>
      </c>
      <c r="H17" s="4">
        <f t="shared" si="0"/>
        <v>17</v>
      </c>
      <c r="I17" s="4">
        <f t="shared" si="1"/>
        <v>15</v>
      </c>
      <c r="J17" s="4" t="s">
        <v>331</v>
      </c>
      <c r="K17" s="4"/>
      <c r="L17" s="4">
        <v>1</v>
      </c>
    </row>
    <row r="18" spans="1:12" ht="75.75" customHeight="1" x14ac:dyDescent="0.25">
      <c r="A18" s="2">
        <f>IF(BD_Versos[[#This Row],[Tema_Principal]]="","",ROW(BD_Versos[[#This Row],[Tema_Principal]])-1)</f>
        <v>17</v>
      </c>
      <c r="B18" s="3" t="s">
        <v>345</v>
      </c>
      <c r="C18" s="3" t="s">
        <v>330</v>
      </c>
      <c r="D18" s="4" t="s">
        <v>42</v>
      </c>
      <c r="E18" s="4">
        <v>12</v>
      </c>
      <c r="F18" s="5" t="s">
        <v>41</v>
      </c>
      <c r="G18" s="6" t="str" cm="1">
        <f t="array" ref="G18">IF(OR(BD_Versos[[#This Row],[Libro]]="",BD_Versos[[#This Row],[Capítulo]]="",BD_Versos[[#This Row],[Versículo]]=""),"",ExtraerPasaje(_xlfn.CONCAT(BD_Versos[[#This Row],[Libro]],BD_Versos[[#This Row],[Capítulo]],":",BD_Versos[[#This Row],[Versículo]])))</f>
        <v xml:space="preserve">_x000D_ _x000D_ 9 Y fue arrojado el gran dragón(A), la serpiente antigua(B) que se llama el diablo y Satanás(C), el cual engaña al mundo entero[a](D); fue arrojado a la tierra(E) y sus ángeles fueron arrojados con él. _x000D_ </v>
      </c>
      <c r="H18" s="4">
        <f t="shared" si="0"/>
        <v>18</v>
      </c>
      <c r="I18" s="4">
        <f t="shared" si="1"/>
        <v>16</v>
      </c>
      <c r="J18" s="4" t="s">
        <v>332</v>
      </c>
      <c r="K18" s="4"/>
      <c r="L18" s="4">
        <v>1</v>
      </c>
    </row>
    <row r="19" spans="1:12" ht="42.6" customHeight="1" x14ac:dyDescent="0.25">
      <c r="A19" s="2">
        <f>IF(BD_Versos[[#This Row],[Tema_Principal]]="","",ROW(BD_Versos[[#This Row],[Tema_Principal]])-1)</f>
        <v>18</v>
      </c>
      <c r="B19" s="3" t="s">
        <v>345</v>
      </c>
      <c r="C19" s="2" t="s">
        <v>333</v>
      </c>
      <c r="D19" s="4" t="s">
        <v>42</v>
      </c>
      <c r="E19" s="4">
        <v>20</v>
      </c>
      <c r="F19" s="5" t="s">
        <v>43</v>
      </c>
      <c r="G19" s="6" t="str" cm="1">
        <f t="array" ref="G19">IF(OR(BD_Versos[[#This Row],[Libro]]="",BD_Versos[[#This Row],[Capítulo]]="",BD_Versos[[#This Row],[Versículo]]=""),"",ExtraerPasaje(_xlfn.CONCAT(BD_Versos[[#This Row],[Libro]],BD_Versos[[#This Row],[Capítulo]],":",BD_Versos[[#This Row],[Versículo]])))</f>
        <v xml:space="preserve">_x000D_ _x000D_ La derrota de Satanás_x000D_ _x000D_ 7 Cuando los mil años se cumplan, Satanás será soltado de su prisión(A), _x000D_ </v>
      </c>
      <c r="I19" s="4">
        <f t="shared" si="1"/>
        <v>17</v>
      </c>
      <c r="J19" s="4" t="s">
        <v>334</v>
      </c>
      <c r="K19" s="4"/>
      <c r="L19" s="4">
        <v>1</v>
      </c>
    </row>
    <row r="20" spans="1:12" ht="75" x14ac:dyDescent="0.25">
      <c r="A20" s="2">
        <f>IF(BD_Versos[[#This Row],[Tema_Principal]]="","",ROW(BD_Versos[[#This Row],[Tema_Principal]])-1)</f>
        <v>19</v>
      </c>
      <c r="B20" s="3" t="s">
        <v>345</v>
      </c>
      <c r="C20" s="3" t="s">
        <v>335</v>
      </c>
      <c r="D20" s="4" t="s">
        <v>46</v>
      </c>
      <c r="E20" s="4">
        <v>3</v>
      </c>
      <c r="F20" s="5" t="s">
        <v>47</v>
      </c>
      <c r="G20" s="6" t="str" cm="1">
        <f t="array" ref="G20">IF(OR(BD_Versos[[#This Row],[Libro]]="",BD_Versos[[#This Row],[Capítulo]]="",BD_Versos[[#This Row],[Versículo]]=""),"",ExtraerPasaje(_xlfn.CONCAT(BD_Versos[[#This Row],[Libro]],BD_Versos[[#This Row],[Capítulo]],":",BD_Versos[[#This Row],[Versículo]])))</f>
        <v xml:space="preserve">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 </v>
      </c>
      <c r="H20" s="4">
        <f>A21</f>
        <v>20</v>
      </c>
      <c r="J20" s="4" t="s">
        <v>336</v>
      </c>
      <c r="K20" s="4">
        <v>3479</v>
      </c>
      <c r="L20" s="4">
        <v>1</v>
      </c>
    </row>
    <row r="21" spans="1:12" ht="45" x14ac:dyDescent="0.25">
      <c r="A21" s="2">
        <f>IF(BD_Versos[[#This Row],[Tema_Principal]]="","",ROW(BD_Versos[[#This Row],[Tema_Principal]])-1)</f>
        <v>20</v>
      </c>
      <c r="B21" s="3" t="s">
        <v>345</v>
      </c>
      <c r="C21" s="3" t="s">
        <v>330</v>
      </c>
      <c r="D21" s="4" t="s">
        <v>48</v>
      </c>
      <c r="E21" s="4">
        <v>1</v>
      </c>
      <c r="F21" s="5" t="s">
        <v>34</v>
      </c>
      <c r="G21" s="6" t="str" cm="1">
        <f t="array" ref="G21">IF(OR(BD_Versos[[#This Row],[Libro]]="",BD_Versos[[#This Row],[Capítulo]]="",BD_Versos[[#This Row],[Versículo]]=""),"",ExtraerPasaje(_xlfn.CONCAT(BD_Versos[[#This Row],[Libro]],BD_Versos[[#This Row],[Capítulo]],":",BD_Versos[[#This Row],[Versículo]])))</f>
        <v xml:space="preserve">_x000D_ _x000D_ 6 Hubo un día cuando los hijos de Dios vinieron a presentarse delante del Señor(A), y Satanás[a] vino también entre ellos(B). _x000D_ </v>
      </c>
      <c r="H21" s="4">
        <f t="shared" ref="H21:H28" si="2">A22</f>
        <v>21</v>
      </c>
      <c r="I21" s="4">
        <f>A20</f>
        <v>19</v>
      </c>
      <c r="J21" s="4" t="s">
        <v>343</v>
      </c>
      <c r="K21" s="4">
        <v>3479</v>
      </c>
      <c r="L21" s="4">
        <v>1</v>
      </c>
    </row>
    <row r="22" spans="1:12" ht="45" x14ac:dyDescent="0.25">
      <c r="A22" s="2">
        <f>IF(BD_Versos[[#This Row],[Tema_Principal]]="","",ROW(BD_Versos[[#This Row],[Tema_Principal]])-1)</f>
        <v>21</v>
      </c>
      <c r="B22" s="3" t="s">
        <v>345</v>
      </c>
      <c r="C22" s="3" t="s">
        <v>330</v>
      </c>
      <c r="D22" s="4" t="s">
        <v>48</v>
      </c>
      <c r="E22" s="4">
        <v>2</v>
      </c>
      <c r="F22" s="5" t="s">
        <v>49</v>
      </c>
      <c r="G22" s="6" t="str" cm="1">
        <f t="array" ref="G22">IF(OR(BD_Versos[[#This Row],[Libro]]="",BD_Versos[[#This Row],[Capítulo]]="",BD_Versos[[#This Row],[Versículo]]=""),"",ExtraerPasaje(_xlfn.CONCAT(BD_Versos[[#This Row],[Libro]],BD_Versos[[#This Row],[Capítulo]],":",BD_Versos[[#This Row],[Versículo]])))</f>
        <v xml:space="preserve">_x000D_ _x000D_ 2 Y el Señor dijo a Satanás: ¿De dónde vienes? Entonces Satanás respondió al Señor, y dijo: De recorrer la tierra y de andar por ella. _x000D_ </v>
      </c>
      <c r="H22" s="4">
        <f t="shared" si="2"/>
        <v>22</v>
      </c>
      <c r="I22" s="4">
        <f t="shared" ref="I22:I29" si="3">A21</f>
        <v>20</v>
      </c>
      <c r="J22" s="4" t="s">
        <v>337</v>
      </c>
      <c r="K22" s="4">
        <v>3479</v>
      </c>
      <c r="L22" s="4">
        <v>1</v>
      </c>
    </row>
    <row r="23" spans="1:12" ht="45" x14ac:dyDescent="0.25">
      <c r="A23" s="2">
        <f>IF(BD_Versos[[#This Row],[Tema_Principal]]="","",ROW(BD_Versos[[#This Row],[Tema_Principal]])-1)</f>
        <v>22</v>
      </c>
      <c r="B23" s="3" t="s">
        <v>345</v>
      </c>
      <c r="C23" s="3" t="s">
        <v>339</v>
      </c>
      <c r="D23" s="4" t="s">
        <v>50</v>
      </c>
      <c r="E23" s="4">
        <v>12</v>
      </c>
      <c r="F23" s="5" t="s">
        <v>51</v>
      </c>
      <c r="G23" s="6" t="str" cm="1">
        <f t="array" ref="G23">IF(OR(BD_Versos[[#This Row],[Libro]]="",BD_Versos[[#This Row],[Capítulo]]="",BD_Versos[[#This Row],[Versículo]]=""),"",ExtraerPasaje(_xlfn.CONCAT(BD_Versos[[#This Row],[Libro]],BD_Versos[[#This Row],[Capítulo]],":",BD_Versos[[#This Row],[Versículo]])))</f>
        <v xml:space="preserve">_x000D_ _x000D_ 26 Y si Satanás expulsa a Satanás(A), está[a] dividido contra sí mismo; ¿cómo puede entonces mantenerse en pie su reino? _x000D_ </v>
      </c>
      <c r="H23" s="4">
        <f t="shared" si="2"/>
        <v>23</v>
      </c>
      <c r="I23" s="4">
        <f t="shared" si="3"/>
        <v>21</v>
      </c>
      <c r="J23" s="4" t="s">
        <v>338</v>
      </c>
      <c r="K23" s="4">
        <v>3479</v>
      </c>
      <c r="L23" s="4">
        <v>1</v>
      </c>
    </row>
    <row r="24" spans="1:12" ht="60" x14ac:dyDescent="0.25">
      <c r="A24" s="2">
        <f>IF(BD_Versos[[#This Row],[Tema_Principal]]="","",ROW(BD_Versos[[#This Row],[Tema_Principal]])-1)</f>
        <v>23</v>
      </c>
      <c r="B24" s="3" t="s">
        <v>345</v>
      </c>
      <c r="C24" s="3" t="s">
        <v>339</v>
      </c>
      <c r="D24" s="4" t="s">
        <v>33</v>
      </c>
      <c r="E24" s="4">
        <v>11</v>
      </c>
      <c r="F24" s="5" t="s">
        <v>108</v>
      </c>
      <c r="G24" s="6" t="str" cm="1">
        <f t="array" ref="G24">IF(OR(BD_Versos[[#This Row],[Libro]]="",BD_Versos[[#This Row],[Capítulo]]="",BD_Versos[[#This Row],[Versículo]]=""),"",ExtraerPasaje(_xlfn.CONCAT(BD_Versos[[#This Row],[Libro]],BD_Versos[[#This Row],[Capítulo]],":",BD_Versos[[#This Row],[Versículo]])))</f>
        <v xml:space="preserve">_x000D_ _x000D_ 18 Y si también Satanás(A) está dividido contra sí mismo, ¿cómo permanecerá en pie su reino? Porque vosotros decís que yo echo fuera demonios por Beelzebú(B). _x000D_ </v>
      </c>
      <c r="H24" s="4">
        <f t="shared" si="2"/>
        <v>24</v>
      </c>
      <c r="I24" s="4">
        <f t="shared" si="3"/>
        <v>22</v>
      </c>
      <c r="J24" s="4" t="s">
        <v>338</v>
      </c>
      <c r="K24" s="4">
        <v>3479</v>
      </c>
      <c r="L24" s="4">
        <v>1</v>
      </c>
    </row>
    <row r="25" spans="1:12" ht="30" x14ac:dyDescent="0.25">
      <c r="A25" s="2">
        <f>IF(BD_Versos[[#This Row],[Tema_Principal]]="","",ROW(BD_Versos[[#This Row],[Tema_Principal]])-1)</f>
        <v>24</v>
      </c>
      <c r="B25" s="3" t="s">
        <v>345</v>
      </c>
      <c r="C25" s="2" t="s">
        <v>29</v>
      </c>
      <c r="D25" s="4" t="s">
        <v>36</v>
      </c>
      <c r="E25" s="4">
        <v>11</v>
      </c>
      <c r="F25" s="5" t="s">
        <v>47</v>
      </c>
      <c r="G25" s="6" t="str" cm="1">
        <f t="array" ref="G25">IF(OR(BD_Versos[[#This Row],[Libro]]="",BD_Versos[[#This Row],[Capítulo]]="",BD_Versos[[#This Row],[Versículo]]=""),"",ExtraerPasaje(_xlfn.CONCAT(BD_Versos[[#This Row],[Libro]],BD_Versos[[#This Row],[Capítulo]],":",BD_Versos[[#This Row],[Versículo]])))</f>
        <v xml:space="preserve">_x000D_ _x000D_ 14 Y no es de extrañar, pues aun Satanás(A) se disfraza como ángel de luz(B). _x000D_ </v>
      </c>
      <c r="H25" s="4">
        <f t="shared" si="2"/>
        <v>25</v>
      </c>
      <c r="I25" s="4">
        <f t="shared" si="3"/>
        <v>23</v>
      </c>
      <c r="J25" s="4" t="s">
        <v>340</v>
      </c>
      <c r="K25" s="4">
        <v>3479</v>
      </c>
      <c r="L25" s="4">
        <v>1</v>
      </c>
    </row>
    <row r="26" spans="1:12" ht="30" x14ac:dyDescent="0.25">
      <c r="A26" s="2">
        <f>IF(BD_Versos[[#This Row],[Tema_Principal]]="","",ROW(BD_Versos[[#This Row],[Tema_Principal]])-1)</f>
        <v>25</v>
      </c>
      <c r="B26" s="3" t="s">
        <v>345</v>
      </c>
      <c r="C26" s="2" t="s">
        <v>29</v>
      </c>
      <c r="D26" s="4" t="s">
        <v>96</v>
      </c>
      <c r="E26" s="4">
        <v>5</v>
      </c>
      <c r="F26" s="5" t="s">
        <v>31</v>
      </c>
      <c r="G26" s="6" t="str" cm="1">
        <f t="array" ref="G26">IF(OR(BD_Versos[[#This Row],[Libro]]="",BD_Versos[[#This Row],[Capítulo]]="",BD_Versos[[#This Row],[Versículo]]=""),"",ExtraerPasaje(_xlfn.CONCAT(BD_Versos[[#This Row],[Libro]],BD_Versos[[#This Row],[Capítulo]],":",BD_Versos[[#This Row],[Versículo]])))</f>
        <v xml:space="preserve">_x000D_ _x000D_ 15 Pues algunas ya se han apartado(A) para seguir a Satanás(B). _x000D_ </v>
      </c>
      <c r="H26" s="4">
        <f t="shared" si="2"/>
        <v>26</v>
      </c>
      <c r="I26" s="4">
        <f t="shared" si="3"/>
        <v>24</v>
      </c>
      <c r="J26" s="4" t="s">
        <v>341</v>
      </c>
      <c r="K26" s="4">
        <v>3479</v>
      </c>
      <c r="L26" s="4">
        <v>1</v>
      </c>
    </row>
    <row r="27" spans="1:12" ht="75" x14ac:dyDescent="0.25">
      <c r="A27" s="2">
        <f>IF(BD_Versos[[#This Row],[Tema_Principal]]="","",ROW(BD_Versos[[#This Row],[Tema_Principal]])-1)</f>
        <v>26</v>
      </c>
      <c r="B27" s="3" t="s">
        <v>345</v>
      </c>
      <c r="D27" s="4" t="s">
        <v>105</v>
      </c>
      <c r="E27" s="4">
        <v>1</v>
      </c>
      <c r="F27" s="5" t="s">
        <v>41</v>
      </c>
      <c r="G27" s="6" t="str" cm="1">
        <f t="array" ref="G27">IF(OR(BD_Versos[[#This Row],[Libro]]="",BD_Versos[[#This Row],[Capítulo]]="",BD_Versos[[#This Row],[Versículo]]=""),"",ExtraerPasaje(_xlfn.CONCAT(BD_Versos[[#This Row],[Libro]],BD_Versos[[#This Row],[Capítulo]],":",BD_Versos[[#This Row],[Versículo]])))</f>
        <v xml:space="preserve">_x000D_ _x000D_ 9 Pero cuando el arcángel(A) Miguel(B) contendía con el diablo y disputaba acerca del cuerpo de Moisés(C), no se atrevió a proferir juicio de maldición contra él, sino que dijo: El Señor te reprenda(D). _x000D_ </v>
      </c>
      <c r="H27" s="4">
        <f t="shared" si="2"/>
        <v>27</v>
      </c>
      <c r="I27" s="4">
        <f t="shared" si="3"/>
        <v>25</v>
      </c>
      <c r="J27" s="4"/>
      <c r="K27" s="4">
        <v>3479</v>
      </c>
      <c r="L27" s="4">
        <v>1</v>
      </c>
    </row>
    <row r="28" spans="1:12" ht="45" x14ac:dyDescent="0.25">
      <c r="A28" s="2">
        <f>IF(BD_Versos[[#This Row],[Tema_Principal]]="","",ROW(BD_Versos[[#This Row],[Tema_Principal]])-1)</f>
        <v>27</v>
      </c>
      <c r="B28" s="3" t="s">
        <v>345</v>
      </c>
      <c r="C28" s="3" t="s">
        <v>330</v>
      </c>
      <c r="D28" s="4" t="s">
        <v>42</v>
      </c>
      <c r="E28" s="4">
        <v>9</v>
      </c>
      <c r="F28" s="5" t="s">
        <v>37</v>
      </c>
      <c r="G28" s="6" t="str" cm="1">
        <f t="array" ref="G28">IF(OR(BD_Versos[[#This Row],[Libro]]="",BD_Versos[[#This Row],[Capítulo]]="",BD_Versos[[#This Row],[Versículo]]=""),"",ExtraerPasaje(_xlfn.CONCAT(BD_Versos[[#This Row],[Libro]],BD_Versos[[#This Row],[Capítulo]],":",BD_Versos[[#This Row],[Versículo]])))</f>
        <v xml:space="preserve">_x000D_ _x000D_ 11 Tienen sobre ellos por rey al ángel del abismo(A), cuyo nombre en hebreo(B) es Abadón[a](C), y en griego se llama Apolión[b]._x000D_ </v>
      </c>
      <c r="H28" s="4">
        <f t="shared" si="2"/>
        <v>28</v>
      </c>
      <c r="I28" s="4">
        <f t="shared" si="3"/>
        <v>26</v>
      </c>
      <c r="J28" s="4" t="s">
        <v>342</v>
      </c>
      <c r="K28" s="4">
        <v>3479</v>
      </c>
      <c r="L28" s="4">
        <v>1</v>
      </c>
    </row>
    <row r="29" spans="1:12" ht="129.6" customHeight="1" x14ac:dyDescent="0.25">
      <c r="A29" s="2">
        <f>IF(BD_Versos[[#This Row],[Tema_Principal]]="","",ROW(BD_Versos[[#This Row],[Tema_Principal]])-1)</f>
        <v>28</v>
      </c>
      <c r="B29" s="3" t="s">
        <v>345</v>
      </c>
      <c r="C29" s="2" t="s">
        <v>333</v>
      </c>
      <c r="D29" s="4" t="s">
        <v>42</v>
      </c>
      <c r="E29" s="4">
        <v>20</v>
      </c>
      <c r="F29" s="5" t="s">
        <v>49</v>
      </c>
      <c r="G29" s="6" t="str" cm="1">
        <f t="array" ref="G29">IF(OR(BD_Versos[[#This Row],[Libro]]="",BD_Versos[[#This Row],[Capítulo]]="",BD_Versos[[#This Row],[Versículo]]=""),"",ExtraerPasaje(_xlfn.CONCAT(BD_Versos[[#This Row],[Libro]],BD_Versos[[#This Row],[Capítulo]],":",BD_Versos[[#This Row],[Versículo]])))</f>
        <v xml:space="preserve">_x000D_ _x000D_ 2 Prendió al dragón, la serpiente antigua, que es el Diablo(A) y Satanás, y lo ató por mil años(B); _x000D_ </v>
      </c>
      <c r="H29" s="4" t="e">
        <f>#REF!</f>
        <v>#REF!</v>
      </c>
      <c r="I29" s="4">
        <f t="shared" si="3"/>
        <v>27</v>
      </c>
      <c r="J29" s="4" t="s">
        <v>344</v>
      </c>
      <c r="K29" s="4">
        <v>3479</v>
      </c>
      <c r="L29" s="4">
        <v>1</v>
      </c>
    </row>
    <row r="30" spans="1:12" ht="45" x14ac:dyDescent="0.25">
      <c r="A30" s="2">
        <f>IF(BD_Versos[[#This Row],[Tema_Principal]]="","",ROW(BD_Versos[[#This Row],[Tema_Principal]])-1)</f>
        <v>29</v>
      </c>
      <c r="B30" s="3" t="s">
        <v>345</v>
      </c>
      <c r="C30" s="2" t="s">
        <v>330</v>
      </c>
      <c r="D30" s="4" t="s">
        <v>46</v>
      </c>
      <c r="E30" s="4">
        <v>3</v>
      </c>
      <c r="F30" s="5" t="s">
        <v>31</v>
      </c>
      <c r="G30" s="6" t="str" cm="1">
        <f t="array" ref="G30">IF(OR(BD_Versos[[#This Row],[Libro]]="",BD_Versos[[#This Row],[Capítulo]]="",BD_Versos[[#This Row],[Versículo]]=""),"",ExtraerPasaje(_xlfn.CONCAT(BD_Versos[[#This Row],[Libro]],BD_Versos[[#This Row],[Capítulo]],":",BD_Versos[[#This Row],[Versículo]])))</f>
        <v xml:space="preserve">_x000D_ _x000D_ _x000D_ 15 Y pondré enemistad_x000D_ entre tú y la mujer(A),_x000D_ y entre tu simiente y su simiente;_x000D_ él te herirá en[a] la cabeza,_x000D_ y tú lo herirás en el calcañar(B)._x000D_ </v>
      </c>
      <c r="H30" s="4" t="e">
        <f>#REF!</f>
        <v>#REF!</v>
      </c>
      <c r="J30" s="4" t="s">
        <v>346</v>
      </c>
      <c r="K30" s="4">
        <v>3480</v>
      </c>
      <c r="L30" s="4">
        <v>0</v>
      </c>
    </row>
    <row r="31" spans="1:12" ht="46.15" customHeight="1" x14ac:dyDescent="0.25">
      <c r="A31" s="2">
        <f>IF(BD_Versos[[#This Row],[Tema_Principal]]="","",ROW(BD_Versos[[#This Row],[Tema_Principal]])-1)</f>
        <v>30</v>
      </c>
      <c r="B31" s="3" t="s">
        <v>44</v>
      </c>
      <c r="C31" s="2" t="s">
        <v>109</v>
      </c>
      <c r="D31" s="4" t="s">
        <v>50</v>
      </c>
      <c r="E31" s="4">
        <v>4</v>
      </c>
      <c r="F31" s="5" t="s">
        <v>37</v>
      </c>
      <c r="G31" s="6" t="str" cm="1">
        <f t="array" ref="G31">IF(OR(BD_Versos[[#This Row],[Libro]]="",BD_Versos[[#This Row],[Capítulo]]="",BD_Versos[[#This Row],[Versículo]]=""),"",ExtraerPasaje(_xlfn.CONCAT(BD_Versos[[#This Row],[Libro]],BD_Versos[[#This Row],[Capítulo]],":",BD_Versos[[#This Row],[Versículo]])))</f>
        <v xml:space="preserve">_x000D_ _x000D_ 11 El diablo entonces le dejó*; y he aquí, ángeles vinieron y le servían(A)._x000D_ </v>
      </c>
      <c r="H31" s="4">
        <f t="shared" ref="H31:H42" si="4">A32</f>
        <v>31</v>
      </c>
      <c r="I31" s="4" t="e">
        <f>#REF!</f>
        <v>#REF!</v>
      </c>
      <c r="J31" s="4"/>
      <c r="K31" s="4">
        <v>3480</v>
      </c>
      <c r="L31" s="4">
        <v>0</v>
      </c>
    </row>
    <row r="32" spans="1:12" ht="45" x14ac:dyDescent="0.25">
      <c r="A32" s="2">
        <f>IF(BD_Versos[[#This Row],[Tema_Principal]]="","",ROW(BD_Versos[[#This Row],[Tema_Principal]])-1)</f>
        <v>31</v>
      </c>
      <c r="B32" s="3" t="s">
        <v>44</v>
      </c>
      <c r="C32" s="2" t="s">
        <v>109</v>
      </c>
      <c r="D32" s="4" t="s">
        <v>50</v>
      </c>
      <c r="E32" s="4">
        <v>12</v>
      </c>
      <c r="F32" s="5" t="s">
        <v>111</v>
      </c>
      <c r="G32" s="6" t="str" cm="1">
        <f t="array" ref="G32">IF(OR(BD_Versos[[#This Row],[Libro]]="",BD_Versos[[#This Row],[Capítulo]]="",BD_Versos[[#This Row],[Versículo]]=""),"",ExtraerPasaje(_xlfn.CONCAT(BD_Versos[[#This Row],[Libro]],BD_Versos[[#This Row],[Capítulo]],":",BD_Versos[[#This Row],[Versículo]])))</f>
        <v xml:space="preserve">_x000D_ _x000D_ 29 ¿O cómo puede alguien entrar en la casa de un hombre fuerte y saquear sus bienes, si primero no lo ata[a]? Y entonces saqueará su casa. _x000D_ </v>
      </c>
      <c r="H32" s="4">
        <f t="shared" si="4"/>
        <v>32</v>
      </c>
      <c r="I32" s="4">
        <f t="shared" ref="I32:I43" si="5">A31</f>
        <v>30</v>
      </c>
      <c r="J32" s="4"/>
      <c r="K32" s="4">
        <v>3480</v>
      </c>
      <c r="L32" s="4">
        <v>0</v>
      </c>
    </row>
    <row r="33" spans="1:12" ht="45" x14ac:dyDescent="0.25">
      <c r="A33" s="2">
        <f>IF(BD_Versos[[#This Row],[Tema_Principal]]="","",ROW(BD_Versos[[#This Row],[Tema_Principal]])-1)</f>
        <v>32</v>
      </c>
      <c r="B33" s="3" t="s">
        <v>44</v>
      </c>
      <c r="C33" s="2" t="s">
        <v>109</v>
      </c>
      <c r="D33" s="4" t="s">
        <v>30</v>
      </c>
      <c r="E33" s="4">
        <v>3</v>
      </c>
      <c r="F33" s="5" t="s">
        <v>112</v>
      </c>
      <c r="G33" s="6" t="str" cm="1">
        <f t="array" ref="G33">IF(OR(BD_Versos[[#This Row],[Libro]]="",BD_Versos[[#This Row],[Capítulo]]="",BD_Versos[[#This Row],[Versículo]]=""),"",ExtraerPasaje(_xlfn.CONCAT(BD_Versos[[#This Row],[Libro]],BD_Versos[[#This Row],[Capítulo]],":",BD_Versos[[#This Row],[Versículo]])))</f>
        <v xml:space="preserve">_x000D_ _x000D_ 27 Pero nadie puede entrar en la casa de un hombre fuerte y saquear sus bienes si primero no lo ata[a]; entonces podrá saquear su casa(A). _x000D_ </v>
      </c>
      <c r="H33" s="4">
        <f t="shared" si="4"/>
        <v>33</v>
      </c>
      <c r="I33" s="4">
        <f t="shared" si="5"/>
        <v>31</v>
      </c>
      <c r="J33" s="4"/>
      <c r="K33" s="4">
        <v>3480</v>
      </c>
      <c r="L33" s="4">
        <v>0</v>
      </c>
    </row>
    <row r="34" spans="1:12" ht="45" x14ac:dyDescent="0.25">
      <c r="A34" s="2">
        <f>IF(BD_Versos[[#This Row],[Tema_Principal]]="","",ROW(BD_Versos[[#This Row],[Tema_Principal]])-1)</f>
        <v>33</v>
      </c>
      <c r="B34" s="3" t="s">
        <v>44</v>
      </c>
      <c r="C34" s="2" t="s">
        <v>109</v>
      </c>
      <c r="D34" s="4" t="s">
        <v>33</v>
      </c>
      <c r="E34" s="4">
        <v>4</v>
      </c>
      <c r="F34" s="5" t="s">
        <v>113</v>
      </c>
      <c r="G34" s="6" t="str" cm="1">
        <f t="array" ref="G34">IF(OR(BD_Versos[[#This Row],[Libro]]="",BD_Versos[[#This Row],[Capítulo]]="",BD_Versos[[#This Row],[Versículo]]=""),"",ExtraerPasaje(_xlfn.CONCAT(BD_Versos[[#This Row],[Libro]],BD_Versos[[#This Row],[Capítulo]],":",BD_Versos[[#This Row],[Versículo]])))</f>
        <v xml:space="preserve">_x000D_ _x000D_ 13 Cuando el diablo hubo acabado toda tentación, se alejó de Él esperando[a] un tiempo oportuno._x000D_ </v>
      </c>
      <c r="H34" s="4">
        <f t="shared" si="4"/>
        <v>34</v>
      </c>
      <c r="I34" s="4">
        <f t="shared" si="5"/>
        <v>32</v>
      </c>
      <c r="J34" s="4"/>
      <c r="K34" s="4">
        <v>3480</v>
      </c>
      <c r="L34" s="4">
        <v>0</v>
      </c>
    </row>
    <row r="35" spans="1:12" ht="45" x14ac:dyDescent="0.25">
      <c r="A35" s="2">
        <f>IF(BD_Versos[[#This Row],[Tema_Principal]]="","",ROW(BD_Versos[[#This Row],[Tema_Principal]])-1)</f>
        <v>34</v>
      </c>
      <c r="B35" s="3" t="s">
        <v>44</v>
      </c>
      <c r="C35" s="2" t="s">
        <v>109</v>
      </c>
      <c r="D35" s="4" t="s">
        <v>33</v>
      </c>
      <c r="E35" s="4">
        <v>11</v>
      </c>
      <c r="F35" s="5" t="s">
        <v>114</v>
      </c>
      <c r="G35" s="6" t="str" cm="1">
        <f t="array" ref="G35">IF(OR(BD_Versos[[#This Row],[Libro]]="",BD_Versos[[#This Row],[Capítulo]]="",BD_Versos[[#This Row],[Versículo]]=""),"",ExtraerPasaje(_xlfn.CONCAT(BD_Versos[[#This Row],[Libro]],BD_Versos[[#This Row],[Capítulo]],":",BD_Versos[[#This Row],[Versículo]])))</f>
        <v xml:space="preserve">_x000D_ _x000D_ 22 Pero cuando uno más fuerte que él lo ataca y lo vence, le quita todas sus armas en las cuales había confiado y distribuye su botín. _x000D_ </v>
      </c>
      <c r="H35" s="4">
        <f t="shared" si="4"/>
        <v>35</v>
      </c>
      <c r="I35" s="4">
        <f t="shared" si="5"/>
        <v>33</v>
      </c>
      <c r="J35" s="4"/>
      <c r="K35" s="4">
        <v>3480</v>
      </c>
      <c r="L35" s="4">
        <v>0</v>
      </c>
    </row>
    <row r="36" spans="1:12" ht="60" x14ac:dyDescent="0.25">
      <c r="A36" s="2">
        <f>IF(BD_Versos[[#This Row],[Tema_Principal]]="","",ROW(BD_Versos[[#This Row],[Tema_Principal]])-1)</f>
        <v>35</v>
      </c>
      <c r="B36" s="3" t="s">
        <v>44</v>
      </c>
      <c r="C36" s="2" t="s">
        <v>109</v>
      </c>
      <c r="D36" s="4" t="s">
        <v>91</v>
      </c>
      <c r="E36" s="4">
        <v>12</v>
      </c>
      <c r="F36" s="5" t="s">
        <v>116</v>
      </c>
      <c r="G36" s="6" t="str" cm="1">
        <f t="array" ref="G36">IF(OR(BD_Versos[[#This Row],[Libro]]="",BD_Versos[[#This Row],[Capítulo]]="",BD_Versos[[#This Row],[Versículo]]=""),"",ExtraerPasaje(_xlfn.CONCAT(BD_Versos[[#This Row],[Libro]],BD_Versos[[#This Row],[Capítulo]],":",BD_Versos[[#This Row],[Versículo]])))</f>
        <v xml:space="preserve">_x000D_ _x000D_ 30 Respondió Jesús y dijo: Esta voz no ha venido por causa mía, sino por causa de vosotros(A). 31 Ya está aquí[a] el juicio de este mundo(B); ahora el príncipe de este mundo(C) será echado fuera. _x000D_ </v>
      </c>
      <c r="H36" s="4">
        <f t="shared" si="4"/>
        <v>36</v>
      </c>
      <c r="I36" s="4">
        <f t="shared" si="5"/>
        <v>34</v>
      </c>
      <c r="J36" s="4"/>
      <c r="K36" s="4">
        <v>3480</v>
      </c>
      <c r="L36" s="4">
        <v>0</v>
      </c>
    </row>
    <row r="37" spans="1:12" ht="57" customHeight="1" x14ac:dyDescent="0.25">
      <c r="A37" s="2">
        <f>IF(BD_Versos[[#This Row],[Tema_Principal]]="","",ROW(BD_Versos[[#This Row],[Tema_Principal]])-1)</f>
        <v>36</v>
      </c>
      <c r="B37" s="3" t="s">
        <v>44</v>
      </c>
      <c r="C37" s="2" t="s">
        <v>109</v>
      </c>
      <c r="D37" s="4" t="s">
        <v>91</v>
      </c>
      <c r="E37" s="4">
        <v>14</v>
      </c>
      <c r="F37" s="5" t="s">
        <v>115</v>
      </c>
      <c r="G37" s="6" t="str" cm="1">
        <f t="array" ref="G37">IF(OR(BD_Versos[[#This Row],[Libro]]="",BD_Versos[[#This Row],[Capítulo]]="",BD_Versos[[#This Row],[Versículo]]=""),"",ExtraerPasaje(_xlfn.CONCAT(BD_Versos[[#This Row],[Libro]],BD_Versos[[#This Row],[Capítulo]],":",BD_Versos[[#This Row],[Versículo]])))</f>
        <v xml:space="preserve">_x000D_ _x000D_ 30 No hablaré mucho más con vosotros, porque viene el príncipe[a] de este mundo(A), y él no tiene nada en mí; _x000D_ </v>
      </c>
      <c r="H37" s="4">
        <f t="shared" si="4"/>
        <v>37</v>
      </c>
      <c r="I37" s="4">
        <f t="shared" si="5"/>
        <v>35</v>
      </c>
      <c r="J37" s="4"/>
      <c r="K37" s="4">
        <v>3480</v>
      </c>
      <c r="L37" s="4">
        <v>0</v>
      </c>
    </row>
    <row r="38" spans="1:12" ht="45" x14ac:dyDescent="0.25">
      <c r="A38" s="2">
        <f>IF(BD_Versos[[#This Row],[Tema_Principal]]="","",ROW(BD_Versos[[#This Row],[Tema_Principal]])-1)</f>
        <v>37</v>
      </c>
      <c r="B38" s="3" t="s">
        <v>44</v>
      </c>
      <c r="C38" s="2" t="s">
        <v>109</v>
      </c>
      <c r="D38" s="4" t="s">
        <v>92</v>
      </c>
      <c r="E38" s="4">
        <v>16</v>
      </c>
      <c r="F38" s="5" t="s">
        <v>117</v>
      </c>
      <c r="G38" s="6" t="str" cm="1">
        <f t="array" ref="G38">IF(OR(BD_Versos[[#This Row],[Libro]]="",BD_Versos[[#This Row],[Capítulo]]="",BD_Versos[[#This Row],[Versículo]]=""),"",ExtraerPasaje(_xlfn.CONCAT(BD_Versos[[#This Row],[Libro]],BD_Versos[[#This Row],[Capítulo]],":",BD_Versos[[#This Row],[Versículo]])))</f>
        <v xml:space="preserve">_x000D_ _x000D_ 20 Y el Dios de paz(A) aplastará pronto a Satanás(B) debajo de vuestros pies._x000D_ _x000D_ La gracia de nuestro Señor Jesucristo sea con vosotros(C)._x000D_ </v>
      </c>
      <c r="H38" s="4">
        <f t="shared" si="4"/>
        <v>38</v>
      </c>
      <c r="I38" s="4">
        <f t="shared" si="5"/>
        <v>36</v>
      </c>
      <c r="J38" s="4"/>
      <c r="K38" s="4">
        <v>3480</v>
      </c>
      <c r="L38" s="4">
        <v>0</v>
      </c>
    </row>
    <row r="39" spans="1:12" ht="30" x14ac:dyDescent="0.25">
      <c r="A39" s="2">
        <f>IF(BD_Versos[[#This Row],[Tema_Principal]]="","",ROW(BD_Versos[[#This Row],[Tema_Principal]])-1)</f>
        <v>38</v>
      </c>
      <c r="B39" s="3" t="s">
        <v>44</v>
      </c>
      <c r="C39" s="2" t="s">
        <v>109</v>
      </c>
      <c r="D39" s="4" t="s">
        <v>15</v>
      </c>
      <c r="E39" s="4">
        <v>15</v>
      </c>
      <c r="F39" s="5" t="s">
        <v>51</v>
      </c>
      <c r="G39" s="6" t="str" cm="1">
        <f t="array" ref="G39">IF(OR(BD_Versos[[#This Row],[Libro]]="",BD_Versos[[#This Row],[Capítulo]]="",BD_Versos[[#This Row],[Versículo]]=""),"",ExtraerPasaje(_xlfn.CONCAT(BD_Versos[[#This Row],[Libro]],BD_Versos[[#This Row],[Capítulo]],":",BD_Versos[[#This Row],[Versículo]])))</f>
        <v xml:space="preserve">_x000D_ _x000D_ 26 Y el último enemigo que será abolido[a] es la muerte(A). _x000D_ </v>
      </c>
      <c r="H39" s="4">
        <f t="shared" si="4"/>
        <v>39</v>
      </c>
      <c r="I39" s="4">
        <f t="shared" si="5"/>
        <v>37</v>
      </c>
      <c r="J39" s="4"/>
      <c r="K39" s="4">
        <v>3480</v>
      </c>
      <c r="L39" s="4">
        <v>0</v>
      </c>
    </row>
    <row r="40" spans="1:12" ht="60" x14ac:dyDescent="0.25">
      <c r="A40" s="2">
        <f>IF(BD_Versos[[#This Row],[Tema_Principal]]="","",ROW(BD_Versos[[#This Row],[Tema_Principal]])-1)</f>
        <v>39</v>
      </c>
      <c r="B40" s="3" t="s">
        <v>44</v>
      </c>
      <c r="C40" s="2" t="s">
        <v>109</v>
      </c>
      <c r="D40" s="4" t="s">
        <v>40</v>
      </c>
      <c r="E40" s="4">
        <v>2</v>
      </c>
      <c r="F40" s="5" t="s">
        <v>118</v>
      </c>
      <c r="G40" s="6" t="str" cm="1">
        <f t="array" ref="G40">IF(OR(BD_Versos[[#This Row],[Libro]]="",BD_Versos[[#This Row],[Capítulo]]="",BD_Versos[[#This Row],[Versículo]]=""),"",ExtraerPasaje(_xlfn.CONCAT(BD_Versos[[#This Row],[Libro]],BD_Versos[[#This Row],[Capítulo]],":",BD_Versos[[#This Row],[Versículo]])))</f>
        <v xml:space="preserve">_x000D_ _x000D_ 8 Y entonces será revelado ese inicuo[a](A), a quien el Señor matará con el espíritu[b] de su boca(B), y destruirá con el resplandor[c] de su venida[d](C); _x000D_ </v>
      </c>
      <c r="H40" s="4">
        <f t="shared" si="4"/>
        <v>40</v>
      </c>
      <c r="I40" s="4">
        <f t="shared" si="5"/>
        <v>38</v>
      </c>
      <c r="J40" s="4"/>
      <c r="K40" s="4">
        <v>3480</v>
      </c>
      <c r="L40" s="4">
        <v>0</v>
      </c>
    </row>
    <row r="41" spans="1:12" ht="75" x14ac:dyDescent="0.25">
      <c r="A41" s="2">
        <f>IF(BD_Versos[[#This Row],[Tema_Principal]]="","",ROW(BD_Versos[[#This Row],[Tema_Principal]])-1)</f>
        <v>40</v>
      </c>
      <c r="B41" s="3" t="s">
        <v>44</v>
      </c>
      <c r="C41" s="2" t="s">
        <v>109</v>
      </c>
      <c r="D41" s="4" t="s">
        <v>27</v>
      </c>
      <c r="E41" s="4">
        <v>2</v>
      </c>
      <c r="F41" s="5" t="s">
        <v>47</v>
      </c>
      <c r="G41" s="6" t="str" cm="1">
        <f t="array" ref="G41">IF(OR(BD_Versos[[#This Row],[Libro]]="",BD_Versos[[#This Row],[Capítulo]]="",BD_Versos[[#This Row],[Versículo]]=""),"",ExtraerPasaje(_xlfn.CONCAT(BD_Versos[[#This Row],[Libro]],BD_Versos[[#This Row],[Capítulo]],":",BD_Versos[[#This Row],[Versículo]])))</f>
        <v xml:space="preserve">_x000D_ _x000D_ 14 Así que, por cuanto los hijos participan de carne y sangre[a](A), Él igualmente participó también de lo mismo(B), para anular mediante la muerte el poder(C) de aquel que tenía el poder de la muerte, es decir, el diablo(D), _x000D_ </v>
      </c>
      <c r="H41" s="4">
        <f t="shared" si="4"/>
        <v>41</v>
      </c>
      <c r="I41" s="4">
        <f t="shared" si="5"/>
        <v>39</v>
      </c>
      <c r="J41" s="4"/>
      <c r="K41" s="4">
        <v>3480</v>
      </c>
      <c r="L41" s="4">
        <v>0</v>
      </c>
    </row>
    <row r="42" spans="1:12" ht="75" x14ac:dyDescent="0.25">
      <c r="A42" s="2">
        <f>IF(BD_Versos[[#This Row],[Tema_Principal]]="","",ROW(BD_Versos[[#This Row],[Tema_Principal]])-1)</f>
        <v>41</v>
      </c>
      <c r="B42" s="3" t="s">
        <v>44</v>
      </c>
      <c r="C42" s="2" t="s">
        <v>109</v>
      </c>
      <c r="D42" s="4" t="s">
        <v>102</v>
      </c>
      <c r="E42" s="4">
        <v>3</v>
      </c>
      <c r="F42" s="5" t="s">
        <v>118</v>
      </c>
      <c r="G42" s="6" t="str" cm="1">
        <f t="array" ref="G42">IF(OR(BD_Versos[[#This Row],[Libro]]="",BD_Versos[[#This Row],[Capítulo]]="",BD_Versos[[#This Row],[Versículo]]=""),"",ExtraerPasaje(_xlfn.CONCAT(BD_Versos[[#This Row],[Libro]],BD_Versos[[#This Row],[Capítulo]],":",BD_Versos[[#This Row],[Versículo]])))</f>
        <v xml:space="preserve">_x000D_ _x000D_ 8 El que practica el pecado es del diablo(A), porque el diablo ha pecado[a] desde el principio. El Hijo de Dios(B) se manifestó con este propósito(C): para destruir[b] las obras del diablo(D). _x000D_ </v>
      </c>
      <c r="H42" s="4">
        <f t="shared" si="4"/>
        <v>42</v>
      </c>
      <c r="I42" s="4">
        <f t="shared" si="5"/>
        <v>40</v>
      </c>
      <c r="J42" s="4"/>
      <c r="K42" s="4">
        <v>3480</v>
      </c>
      <c r="L42" s="4">
        <v>0</v>
      </c>
    </row>
    <row r="43" spans="1:12" ht="75" x14ac:dyDescent="0.25">
      <c r="A43" s="2">
        <f>IF(BD_Versos[[#This Row],[Tema_Principal]]="","",ROW(BD_Versos[[#This Row],[Tema_Principal]])-1)</f>
        <v>42</v>
      </c>
      <c r="B43" s="3" t="s">
        <v>44</v>
      </c>
      <c r="C43" s="2" t="s">
        <v>109</v>
      </c>
      <c r="D43" s="4" t="s">
        <v>42</v>
      </c>
      <c r="E43" s="4">
        <v>20</v>
      </c>
      <c r="F43" s="5" t="s">
        <v>119</v>
      </c>
      <c r="G43" s="6" t="str" cm="1">
        <f t="array" ref="G43">IF(OR(BD_Versos[[#This Row],[Libro]]="",BD_Versos[[#This Row],[Capítulo]]="",BD_Versos[[#This Row],[Versículo]]=""),"",ExtraerPasaje(_xlfn.CONCAT(BD_Versos[[#This Row],[Libro]],BD_Versos[[#This Row],[Capítulo]],":",BD_Versos[[#This Row],[Versículo]])))</f>
        <v xml:space="preserve">_x000D_ _x000D_ 10 Y el diablo(A) que los engañaba(B) fue arrojado al lago de fuego y azufre(C), donde también están la bestia(D) y el falso profeta(E); y serán atormentados día y noche por los siglos de los siglos(F)._x000D_ </v>
      </c>
      <c r="I43" s="4">
        <f t="shared" si="5"/>
        <v>41</v>
      </c>
      <c r="J43" s="4"/>
      <c r="K43" s="4">
        <v>3480</v>
      </c>
      <c r="L43" s="4">
        <v>0</v>
      </c>
    </row>
    <row r="44" spans="1:12" ht="60" x14ac:dyDescent="0.25">
      <c r="A44" s="2">
        <f>IF(BD_Versos[[#This Row],[Tema_Principal]]="","",ROW(BD_Versos[[#This Row],[Tema_Principal]])-1)</f>
        <v>43</v>
      </c>
      <c r="B44" s="3" t="s">
        <v>44</v>
      </c>
      <c r="C44" s="2" t="s">
        <v>120</v>
      </c>
      <c r="D44" s="4" t="s">
        <v>48</v>
      </c>
      <c r="E44" s="4">
        <v>1</v>
      </c>
      <c r="F44" s="5" t="s">
        <v>110</v>
      </c>
      <c r="G44" s="6" t="str" cm="1">
        <f t="array" ref="G44">IF(OR(BD_Versos[[#This Row],[Libro]]="",BD_Versos[[#This Row],[Capítulo]]="",BD_Versos[[#This Row],[Versículo]]=""),"",ExtraerPasaje(_xlfn.CONCAT(BD_Versos[[#This Row],[Libro]],BD_Versos[[#This Row],[Capítulo]],":",BD_Versos[[#This Row],[Versículo]])))</f>
        <v xml:space="preserve">_x000D_ _x000D_ 12 Entonces el Señor dijo a Satanás: He aquí, todo lo que tiene está en tu poder[a]; pero no extiendas tu mano sobre él. Y Satanás salió de la presencia del Señor._x000D_ </v>
      </c>
      <c r="H44" s="4">
        <f>A45</f>
        <v>44</v>
      </c>
      <c r="J44" s="4" t="s">
        <v>127</v>
      </c>
      <c r="K44" s="4">
        <v>3481</v>
      </c>
      <c r="L44" s="4">
        <v>0</v>
      </c>
    </row>
    <row r="45" spans="1:12" ht="60" x14ac:dyDescent="0.25">
      <c r="A45" s="2">
        <f>IF(BD_Versos[[#This Row],[Tema_Principal]]="","",ROW(BD_Versos[[#This Row],[Tema_Principal]])-1)</f>
        <v>44</v>
      </c>
      <c r="B45" s="3" t="s">
        <v>44</v>
      </c>
      <c r="C45" s="2" t="s">
        <v>120</v>
      </c>
      <c r="D45" s="4" t="s">
        <v>50</v>
      </c>
      <c r="E45" s="4">
        <v>8</v>
      </c>
      <c r="F45" s="5" t="s">
        <v>121</v>
      </c>
      <c r="G45" s="6" t="str" cm="1">
        <f t="array" ref="G45">IF(OR(BD_Versos[[#This Row],[Libro]]="",BD_Versos[[#This Row],[Capítulo]]="",BD_Versos[[#This Row],[Versículo]]=""),"",ExtraerPasaje(_xlfn.CONCAT(BD_Versos[[#This Row],[Libro]],BD_Versos[[#This Row],[Capítulo]],":",BD_Versos[[#This Row],[Versículo]])))</f>
        <v xml:space="preserve">_x000D_ _x000D_ 32 Entonces Él les dijo: ¡Id! Y ellos salieron y entraron en los cerdos; y he aquí que la piara entera se precipitó por un despeñadero al mar, y perecieron en las aguas. _x000D_ </v>
      </c>
      <c r="H45" s="4">
        <f t="shared" ref="H45:H65" si="6">A46</f>
        <v>45</v>
      </c>
      <c r="I45" s="4">
        <f>A44</f>
        <v>43</v>
      </c>
      <c r="J45" s="4"/>
      <c r="K45" s="4">
        <v>3481</v>
      </c>
      <c r="L45" s="4">
        <v>0</v>
      </c>
    </row>
    <row r="46" spans="1:12" ht="45" x14ac:dyDescent="0.25">
      <c r="A46" s="2">
        <f>IF(BD_Versos[[#This Row],[Tema_Principal]]="","",ROW(BD_Versos[[#This Row],[Tema_Principal]])-1)</f>
        <v>45</v>
      </c>
      <c r="B46" s="3" t="s">
        <v>44</v>
      </c>
      <c r="C46" s="2" t="s">
        <v>120</v>
      </c>
      <c r="D46" s="4" t="s">
        <v>50</v>
      </c>
      <c r="E46" s="4">
        <v>12</v>
      </c>
      <c r="F46" s="5" t="s">
        <v>111</v>
      </c>
      <c r="G46" s="6" t="str" cm="1">
        <f t="array" ref="G46">IF(OR(BD_Versos[[#This Row],[Libro]]="",BD_Versos[[#This Row],[Capítulo]]="",BD_Versos[[#This Row],[Versículo]]=""),"",ExtraerPasaje(_xlfn.CONCAT(BD_Versos[[#This Row],[Libro]],BD_Versos[[#This Row],[Capítulo]],":",BD_Versos[[#This Row],[Versículo]])))</f>
        <v xml:space="preserve">_x000D_ _x000D_ 29 ¿O cómo puede alguien entrar en la casa de un hombre fuerte y saquear sus bienes, si primero no lo ata[a]? Y entonces saqueará su casa. _x000D_ </v>
      </c>
      <c r="H46" s="4">
        <f t="shared" si="6"/>
        <v>46</v>
      </c>
      <c r="I46" s="4">
        <f t="shared" ref="I46:I66" si="7">A45</f>
        <v>44</v>
      </c>
      <c r="J46" s="4"/>
      <c r="K46" s="4">
        <v>3481</v>
      </c>
      <c r="L46" s="4">
        <v>0</v>
      </c>
    </row>
    <row r="47" spans="1:12" ht="45" x14ac:dyDescent="0.25">
      <c r="A47" s="2">
        <f>IF(BD_Versos[[#This Row],[Tema_Principal]]="","",ROW(BD_Versos[[#This Row],[Tema_Principal]])-1)</f>
        <v>46</v>
      </c>
      <c r="B47" s="3" t="s">
        <v>44</v>
      </c>
      <c r="C47" s="2" t="s">
        <v>120</v>
      </c>
      <c r="D47" s="4" t="s">
        <v>30</v>
      </c>
      <c r="E47" s="4">
        <v>3</v>
      </c>
      <c r="F47" s="5" t="s">
        <v>112</v>
      </c>
      <c r="G47" s="6" t="str" cm="1">
        <f t="array" ref="G47">IF(OR(BD_Versos[[#This Row],[Libro]]="",BD_Versos[[#This Row],[Capítulo]]="",BD_Versos[[#This Row],[Versículo]]=""),"",ExtraerPasaje(_xlfn.CONCAT(BD_Versos[[#This Row],[Libro]],BD_Versos[[#This Row],[Capítulo]],":",BD_Versos[[#This Row],[Versículo]])))</f>
        <v xml:space="preserve">_x000D_ _x000D_ 27 Pero nadie puede entrar en la casa de un hombre fuerte y saquear sus bienes si primero no lo ata[a]; entonces podrá saquear su casa(A). _x000D_ </v>
      </c>
      <c r="H47" s="4">
        <f t="shared" si="6"/>
        <v>47</v>
      </c>
      <c r="I47" s="4">
        <f t="shared" si="7"/>
        <v>45</v>
      </c>
      <c r="J47" s="4"/>
      <c r="K47" s="4">
        <v>3481</v>
      </c>
      <c r="L47" s="4">
        <v>0</v>
      </c>
    </row>
    <row r="48" spans="1:12" ht="60" x14ac:dyDescent="0.25">
      <c r="A48" s="2">
        <f>IF(BD_Versos[[#This Row],[Tema_Principal]]="","",ROW(BD_Versos[[#This Row],[Tema_Principal]])-1)</f>
        <v>47</v>
      </c>
      <c r="B48" s="3" t="s">
        <v>44</v>
      </c>
      <c r="C48" s="2" t="s">
        <v>120</v>
      </c>
      <c r="D48" s="4" t="s">
        <v>30</v>
      </c>
      <c r="E48" s="4">
        <v>5</v>
      </c>
      <c r="F48" s="5" t="s">
        <v>122</v>
      </c>
      <c r="G48" s="6" t="str" cm="1">
        <f t="array" ref="G48">IF(OR(BD_Versos[[#This Row],[Libro]]="",BD_Versos[[#This Row],[Capítulo]]="",BD_Versos[[#This Row],[Versículo]]=""),"",ExtraerPasaje(_xlfn.CONCAT(BD_Versos[[#This Row],[Libro]],BD_Versos[[#This Row],[Capítulo]],":",BD_Versos[[#This Row],[Versículo]])))</f>
        <v xml:space="preserve">_x000D_ _x000D_ 4 porque muchas veces había sido atado con grillos y cadenas, pero él había roto las cadenas y destrozado los grillos, y nadie era tan fuerte como para dominarlo. _x000D_ </v>
      </c>
      <c r="H48" s="4">
        <f t="shared" si="6"/>
        <v>48</v>
      </c>
      <c r="I48" s="4">
        <f t="shared" si="7"/>
        <v>46</v>
      </c>
      <c r="J48" s="4"/>
      <c r="K48" s="4">
        <v>3481</v>
      </c>
      <c r="L48" s="4">
        <v>0</v>
      </c>
    </row>
    <row r="49" spans="1:12" ht="60" x14ac:dyDescent="0.25">
      <c r="A49" s="2">
        <f>IF(BD_Versos[[#This Row],[Tema_Principal]]="","",ROW(BD_Versos[[#This Row],[Tema_Principal]])-1)</f>
        <v>48</v>
      </c>
      <c r="B49" s="3" t="s">
        <v>44</v>
      </c>
      <c r="C49" s="2" t="s">
        <v>120</v>
      </c>
      <c r="D49" s="4" t="s">
        <v>30</v>
      </c>
      <c r="E49" s="4">
        <v>5</v>
      </c>
      <c r="F49" s="5" t="s">
        <v>113</v>
      </c>
      <c r="G49" s="6" t="str" cm="1">
        <f t="array" ref="G49">IF(OR(BD_Versos[[#This Row],[Libro]]="",BD_Versos[[#This Row],[Capítulo]]="",BD_Versos[[#This Row],[Versículo]]=""),"",ExtraerPasaje(_xlfn.CONCAT(BD_Versos[[#This Row],[Libro]],BD_Versos[[#This Row],[Capítulo]],":",BD_Versos[[#This Row],[Versículo]])))</f>
        <v xml:space="preserve">_x000D_ _x000D_ 13 Y Él les dio permiso. Y saliendo los espíritus inmundos, entraron en los cerdos; y la piara, unos dos mil, se precipitó por un despeñadero al mar, y en el mar se ahogaron[a]. _x000D_ </v>
      </c>
      <c r="H49" s="4">
        <f t="shared" si="6"/>
        <v>49</v>
      </c>
      <c r="I49" s="4">
        <f t="shared" si="7"/>
        <v>47</v>
      </c>
      <c r="J49" s="4"/>
      <c r="K49" s="4">
        <v>3481</v>
      </c>
      <c r="L49" s="4">
        <v>0</v>
      </c>
    </row>
    <row r="50" spans="1:12" ht="60" x14ac:dyDescent="0.25">
      <c r="A50" s="2">
        <f>IF(BD_Versos[[#This Row],[Tema_Principal]]="","",ROW(BD_Versos[[#This Row],[Tema_Principal]])-1)</f>
        <v>49</v>
      </c>
      <c r="B50" s="3" t="s">
        <v>44</v>
      </c>
      <c r="C50" s="2" t="s">
        <v>120</v>
      </c>
      <c r="D50" s="4" t="s">
        <v>30</v>
      </c>
      <c r="E50" s="4">
        <v>9</v>
      </c>
      <c r="F50" s="5" t="s">
        <v>108</v>
      </c>
      <c r="G50" s="6" t="str" cm="1">
        <f t="array" ref="G50">IF(OR(BD_Versos[[#This Row],[Libro]]="",BD_Versos[[#This Row],[Capítulo]]="",BD_Versos[[#This Row],[Versículo]]=""),"",ExtraerPasaje(_xlfn.CONCAT(BD_Versos[[#This Row],[Libro]],BD_Versos[[#This Row],[Capítulo]],":",BD_Versos[[#This Row],[Versículo]])))</f>
        <v xml:space="preserve">_x000D_ _x000D_ 18 y siempre[a] que se apodera de él, lo derriba, y echa espumarajos, cruje los dientes y se va consumiendo[b]. Y dije a tus discípulos que lo expulsaran, pero no pudieron. _x000D_ </v>
      </c>
      <c r="H50" s="4">
        <f t="shared" si="6"/>
        <v>50</v>
      </c>
      <c r="I50" s="4">
        <f t="shared" si="7"/>
        <v>48</v>
      </c>
      <c r="J50" s="4"/>
      <c r="K50" s="4">
        <v>3481</v>
      </c>
      <c r="L50" s="4">
        <v>0</v>
      </c>
    </row>
    <row r="51" spans="1:12" ht="60" x14ac:dyDescent="0.25">
      <c r="A51" s="2">
        <f>IF(BD_Versos[[#This Row],[Tema_Principal]]="","",ROW(BD_Versos[[#This Row],[Tema_Principal]])-1)</f>
        <v>50</v>
      </c>
      <c r="B51" s="3" t="s">
        <v>44</v>
      </c>
      <c r="C51" s="2" t="s">
        <v>120</v>
      </c>
      <c r="D51" s="4" t="s">
        <v>30</v>
      </c>
      <c r="E51" s="4">
        <v>9</v>
      </c>
      <c r="F51" s="5" t="s">
        <v>51</v>
      </c>
      <c r="G51" s="6" t="str" cm="1">
        <f t="array" ref="G51">IF(OR(BD_Versos[[#This Row],[Libro]]="",BD_Versos[[#This Row],[Capítulo]]="",BD_Versos[[#This Row],[Versículo]]=""),"",ExtraerPasaje(_xlfn.CONCAT(BD_Versos[[#This Row],[Libro]],BD_Versos[[#This Row],[Capítulo]],":",BD_Versos[[#This Row],[Versículo]])))</f>
        <v xml:space="preserve">_x000D_ _x000D_ 26 Y después de gritar y de sacudirlo con terribles convulsiones, salió: y el muchacho quedó como muerto, tanto, que la mayoría de ellos decían: ¡Está muerto! _x000D_ </v>
      </c>
      <c r="H51" s="4">
        <f t="shared" si="6"/>
        <v>51</v>
      </c>
      <c r="I51" s="4">
        <f t="shared" si="7"/>
        <v>49</v>
      </c>
      <c r="J51" s="4"/>
      <c r="K51" s="4">
        <v>3481</v>
      </c>
      <c r="L51" s="4">
        <v>0</v>
      </c>
    </row>
    <row r="52" spans="1:12" ht="45" x14ac:dyDescent="0.25">
      <c r="A52" s="2">
        <f>IF(BD_Versos[[#This Row],[Tema_Principal]]="","",ROW(BD_Versos[[#This Row],[Tema_Principal]])-1)</f>
        <v>51</v>
      </c>
      <c r="B52" s="3" t="s">
        <v>44</v>
      </c>
      <c r="C52" s="2" t="s">
        <v>120</v>
      </c>
      <c r="D52" s="4" t="s">
        <v>33</v>
      </c>
      <c r="E52" s="4">
        <v>4</v>
      </c>
      <c r="F52" s="5" t="s">
        <v>34</v>
      </c>
      <c r="G52" s="6" t="str" cm="1">
        <f t="array" ref="G52">IF(OR(BD_Versos[[#This Row],[Libro]]="",BD_Versos[[#This Row],[Capítulo]]="",BD_Versos[[#This Row],[Versículo]]=""),"",ExtraerPasaje(_xlfn.CONCAT(BD_Versos[[#This Row],[Libro]],BD_Versos[[#This Row],[Capítulo]],":",BD_Versos[[#This Row],[Versículo]])))</f>
        <v xml:space="preserve">_x000D_ _x000D_ 6 Y el diablo le dijo: Todo este dominio y su gloria te daré; pues a mí me ha sido entregado(A), y a quien quiero se lo doy. _x000D_ </v>
      </c>
      <c r="H52" s="4">
        <f t="shared" si="6"/>
        <v>52</v>
      </c>
      <c r="I52" s="4">
        <f t="shared" si="7"/>
        <v>50</v>
      </c>
      <c r="J52" s="4" t="s">
        <v>128</v>
      </c>
      <c r="K52" s="4">
        <v>3481</v>
      </c>
      <c r="L52" s="4">
        <v>0</v>
      </c>
    </row>
    <row r="53" spans="1:12" ht="90" x14ac:dyDescent="0.25">
      <c r="A53" s="2">
        <f>IF(BD_Versos[[#This Row],[Tema_Principal]]="","",ROW(BD_Versos[[#This Row],[Tema_Principal]])-1)</f>
        <v>52</v>
      </c>
      <c r="B53" s="3" t="s">
        <v>44</v>
      </c>
      <c r="C53" s="2" t="s">
        <v>120</v>
      </c>
      <c r="D53" s="4" t="s">
        <v>33</v>
      </c>
      <c r="E53" s="4">
        <v>8</v>
      </c>
      <c r="F53" s="5" t="s">
        <v>111</v>
      </c>
      <c r="G53" s="6" t="str" cm="1">
        <f t="array" ref="G53">IF(OR(BD_Versos[[#This Row],[Libro]]="",BD_Versos[[#This Row],[Capítulo]]="",BD_Versos[[#This Row],[Versículo]]=""),"",ExtraerPasaje(_xlfn.CONCAT(BD_Versos[[#This Row],[Libro]],BD_Versos[[#This Row],[Capítulo]],":",BD_Versos[[#This Row],[Versículo]])))</f>
        <v xml:space="preserve">_x000D_ _x000D_ 29 Porque Él mandaba al espíritu inmundo que saliera del hombre, pues muchas veces[a] se había apoderado de él, y[b] estaba atado con cadenas y grillos y bajo guardia; a pesar de todo rompía las ataduras y era impelido por el demonio a los desiertos. _x000D_ </v>
      </c>
      <c r="H53" s="4">
        <f t="shared" si="6"/>
        <v>53</v>
      </c>
      <c r="I53" s="4">
        <f t="shared" si="7"/>
        <v>51</v>
      </c>
      <c r="J53" s="4"/>
      <c r="K53" s="4">
        <v>3481</v>
      </c>
      <c r="L53" s="4">
        <v>0</v>
      </c>
    </row>
    <row r="54" spans="1:12" ht="30" x14ac:dyDescent="0.25">
      <c r="A54" s="2">
        <f>IF(BD_Versos[[#This Row],[Tema_Principal]]="","",ROW(BD_Versos[[#This Row],[Tema_Principal]])-1)</f>
        <v>53</v>
      </c>
      <c r="B54" s="3" t="s">
        <v>44</v>
      </c>
      <c r="C54" s="2" t="s">
        <v>120</v>
      </c>
      <c r="D54" s="4" t="s">
        <v>33</v>
      </c>
      <c r="E54" s="4">
        <v>11</v>
      </c>
      <c r="F54" s="5" t="s">
        <v>123</v>
      </c>
      <c r="G54" s="6" t="str" cm="1">
        <f t="array" ref="G54">IF(OR(BD_Versos[[#This Row],[Libro]]="",BD_Versos[[#This Row],[Capítulo]]="",BD_Versos[[#This Row],[Versículo]]=""),"",ExtraerPasaje(_xlfn.CONCAT(BD_Versos[[#This Row],[Libro]],BD_Versos[[#This Row],[Capítulo]],":",BD_Versos[[#This Row],[Versículo]])))</f>
        <v xml:space="preserve">_x000D_ _x000D_ 21 Cuando un[a] hombre fuerte, bien armado, custodia su palacio, sus bienes están seguros[b]. _x000D_ </v>
      </c>
      <c r="H54" s="4">
        <f t="shared" si="6"/>
        <v>54</v>
      </c>
      <c r="I54" s="4">
        <f t="shared" si="7"/>
        <v>52</v>
      </c>
      <c r="J54" s="4"/>
      <c r="K54" s="4">
        <v>3481</v>
      </c>
      <c r="L54" s="4">
        <v>0</v>
      </c>
    </row>
    <row r="55" spans="1:12" ht="60" x14ac:dyDescent="0.25">
      <c r="A55" s="2">
        <f>IF(BD_Versos[[#This Row],[Tema_Principal]]="","",ROW(BD_Versos[[#This Row],[Tema_Principal]])-1)</f>
        <v>54</v>
      </c>
      <c r="B55" s="3" t="s">
        <v>44</v>
      </c>
      <c r="C55" s="2" t="s">
        <v>120</v>
      </c>
      <c r="D55" s="4" t="s">
        <v>33</v>
      </c>
      <c r="E55" s="4">
        <v>13</v>
      </c>
      <c r="F55" s="5" t="s">
        <v>124</v>
      </c>
      <c r="G55" s="6" t="str" cm="1">
        <f t="array" ref="G55">IF(OR(BD_Versos[[#This Row],[Libro]]="",BD_Versos[[#This Row],[Capítulo]]="",BD_Versos[[#This Row],[Versículo]]=""),"",ExtraerPasaje(_xlfn.CONCAT(BD_Versos[[#This Row],[Libro]],BD_Versos[[#This Row],[Capítulo]],":",BD_Versos[[#This Row],[Versículo]])))</f>
        <v xml:space="preserve">_x000D_ _x000D_ 16 Y esta, que es hija de Abraham(A), a la que Satanás ha tenido atada durante dieciocho largos años(B), ¿no debía ser libertada de esta ligadura en día de reposo? _x000D_ </v>
      </c>
      <c r="H55" s="4">
        <f t="shared" si="6"/>
        <v>55</v>
      </c>
      <c r="I55" s="4">
        <f t="shared" si="7"/>
        <v>53</v>
      </c>
      <c r="J55" s="4"/>
      <c r="K55" s="4">
        <v>3481</v>
      </c>
      <c r="L55" s="4">
        <v>0</v>
      </c>
    </row>
    <row r="56" spans="1:12" ht="67.150000000000006" customHeight="1" x14ac:dyDescent="0.25">
      <c r="A56" s="2">
        <f>IF(BD_Versos[[#This Row],[Tema_Principal]]="","",ROW(BD_Versos[[#This Row],[Tema_Principal]])-1)</f>
        <v>55</v>
      </c>
      <c r="B56" s="3" t="s">
        <v>44</v>
      </c>
      <c r="C56" s="2" t="s">
        <v>120</v>
      </c>
      <c r="D56" s="4" t="s">
        <v>33</v>
      </c>
      <c r="E56" s="4">
        <v>22</v>
      </c>
      <c r="F56" s="5" t="s">
        <v>125</v>
      </c>
      <c r="G56" s="6" t="str" cm="1">
        <f t="array" ref="G56">IF(OR(BD_Versos[[#This Row],[Libro]]="",BD_Versos[[#This Row],[Capítulo]]="",BD_Versos[[#This Row],[Versículo]]=""),"",ExtraerPasaje(_xlfn.CONCAT(BD_Versos[[#This Row],[Libro]],BD_Versos[[#This Row],[Capítulo]],":",BD_Versos[[#This Row],[Versículo]])))</f>
        <v xml:space="preserve">_x000D_ _x000D_ 53 Cuando estaba con vosotros cada día en el templo, no me echasteis mano; pero esta hora y el poder de las tinieblas son vuestros[a]._x000D_ </v>
      </c>
      <c r="H56" s="4">
        <f t="shared" si="6"/>
        <v>56</v>
      </c>
      <c r="I56" s="4">
        <f t="shared" si="7"/>
        <v>54</v>
      </c>
      <c r="J56" s="4"/>
      <c r="K56" s="4">
        <v>3481</v>
      </c>
      <c r="L56" s="4">
        <v>0</v>
      </c>
    </row>
    <row r="57" spans="1:12" ht="75" x14ac:dyDescent="0.25">
      <c r="A57" s="2">
        <f>IF(BD_Versos[[#This Row],[Tema_Principal]]="","",ROW(BD_Versos[[#This Row],[Tema_Principal]])-1)</f>
        <v>56</v>
      </c>
      <c r="B57" s="3" t="s">
        <v>44</v>
      </c>
      <c r="C57" s="2" t="s">
        <v>120</v>
      </c>
      <c r="D57" s="4" t="s">
        <v>13</v>
      </c>
      <c r="E57" s="4">
        <v>26</v>
      </c>
      <c r="F57" s="5" t="s">
        <v>108</v>
      </c>
      <c r="G57" s="6" t="str" cm="1">
        <f t="array" ref="G57">IF(OR(BD_Versos[[#This Row],[Libro]]="",BD_Versos[[#This Row],[Capítulo]]="",BD_Versos[[#This Row],[Versículo]]=""),"",ExtraerPasaje(_xlfn.CONCAT(BD_Versos[[#This Row],[Libro]],BD_Versos[[#This Row],[Capítulo]],":",BD_Versos[[#This Row],[Versículo]])))</f>
        <v xml:space="preserve">_x000D_ _x000D_ 18 para que abras sus ojos(A) a fin de que se vuelvan de la oscuridad a la luz(B), y del dominio de Satanás a Dios(C), para que reciban, por la fe en mí(D), el perdón de pecados(E) y herencia entre los que han sido santificados(F)». _x000D_ </v>
      </c>
      <c r="H57" s="4">
        <f t="shared" si="6"/>
        <v>57</v>
      </c>
      <c r="I57" s="4">
        <f t="shared" si="7"/>
        <v>55</v>
      </c>
      <c r="J57" s="4" t="s">
        <v>126</v>
      </c>
      <c r="K57" s="4">
        <v>3481</v>
      </c>
      <c r="L57" s="4">
        <v>0</v>
      </c>
    </row>
    <row r="58" spans="1:12" ht="90" x14ac:dyDescent="0.25">
      <c r="A58" s="2">
        <f>IF(BD_Versos[[#This Row],[Tema_Principal]]="","",ROW(BD_Versos[[#This Row],[Tema_Principal]])-1)</f>
        <v>57</v>
      </c>
      <c r="B58" s="3" t="s">
        <v>44</v>
      </c>
      <c r="C58" s="2" t="s">
        <v>120</v>
      </c>
      <c r="D58" s="4" t="s">
        <v>36</v>
      </c>
      <c r="E58" s="4">
        <v>4</v>
      </c>
      <c r="F58" s="5" t="s">
        <v>130</v>
      </c>
      <c r="G58" s="6" t="str" cm="1">
        <f t="array" ref="G58">IF(OR(BD_Versos[[#This Row],[Libro]]="",BD_Versos[[#This Row],[Capítulo]]="",BD_Versos[[#This Row],[Versículo]]=""),"",ExtraerPasaje(_xlfn.CONCAT(BD_Versos[[#This Row],[Libro]],BD_Versos[[#This Row],[Capítulo]],":",BD_Versos[[#This Row],[Versículo]])))</f>
        <v xml:space="preserve">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 </v>
      </c>
      <c r="H58" s="4">
        <f t="shared" si="6"/>
        <v>58</v>
      </c>
      <c r="I58" s="4">
        <f t="shared" si="7"/>
        <v>56</v>
      </c>
      <c r="J58" s="4" t="s">
        <v>129</v>
      </c>
      <c r="K58" s="4">
        <v>3481</v>
      </c>
      <c r="L58" s="4">
        <v>0</v>
      </c>
    </row>
    <row r="59" spans="1:12" ht="90" x14ac:dyDescent="0.25">
      <c r="A59" s="2">
        <f>IF(BD_Versos[[#This Row],[Tema_Principal]]="","",ROW(BD_Versos[[#This Row],[Tema_Principal]])-1)</f>
        <v>58</v>
      </c>
      <c r="B59" s="3" t="s">
        <v>44</v>
      </c>
      <c r="C59" s="2" t="s">
        <v>120</v>
      </c>
      <c r="D59" s="4" t="s">
        <v>39</v>
      </c>
      <c r="E59" s="4">
        <v>6</v>
      </c>
      <c r="F59" s="5" t="s">
        <v>110</v>
      </c>
      <c r="G59" s="6" t="str" cm="1">
        <f t="array" ref="G59">IF(OR(BD_Versos[[#This Row],[Libro]]="",BD_Versos[[#This Row],[Capítulo]]="",BD_Versos[[#This Row],[Versículo]]=""),"",ExtraerPasaje(_xlfn.CONCAT(BD_Versos[[#This Row],[Libro]],BD_Versos[[#This Row],[Capítulo]],":",BD_Versos[[#This Row],[Versículo]])))</f>
        <v xml:space="preserve">_x000D_ _x000D_ 12 Porque nuestra lucha(A) no es contra sangre y carne(B), sino contra principados, contra potestades, contra los poderes[a] de este mundo(C) de tinieblas(D), contra las huestes espirituales de maldad en las regiones celestiales(E). _x000D_ </v>
      </c>
      <c r="H59" s="4">
        <f t="shared" si="6"/>
        <v>59</v>
      </c>
      <c r="I59" s="4">
        <f t="shared" si="7"/>
        <v>57</v>
      </c>
      <c r="J59" s="4" t="s">
        <v>131</v>
      </c>
      <c r="K59" s="4">
        <v>3481</v>
      </c>
      <c r="L59" s="4">
        <v>0</v>
      </c>
    </row>
    <row r="60" spans="1:12" ht="45" x14ac:dyDescent="0.25">
      <c r="A60" s="2">
        <f>IF(BD_Versos[[#This Row],[Tema_Principal]]="","",ROW(BD_Versos[[#This Row],[Tema_Principal]])-1)</f>
        <v>59</v>
      </c>
      <c r="B60" s="3" t="s">
        <v>44</v>
      </c>
      <c r="C60" s="2" t="s">
        <v>120</v>
      </c>
      <c r="D60" s="4" t="s">
        <v>94</v>
      </c>
      <c r="E60" s="4">
        <v>1</v>
      </c>
      <c r="F60" s="5" t="s">
        <v>113</v>
      </c>
      <c r="G60" s="6" t="str" cm="1">
        <f t="array" ref="G60">IF(OR(BD_Versos[[#This Row],[Libro]]="",BD_Versos[[#This Row],[Capítulo]]="",BD_Versos[[#This Row],[Versículo]]=""),"",ExtraerPasaje(_xlfn.CONCAT(BD_Versos[[#This Row],[Libro]],BD_Versos[[#This Row],[Capítulo]],":",BD_Versos[[#This Row],[Versículo]])))</f>
        <v xml:space="preserve">_x000D_ _x000D_ La persona y la obra de Jesucristo_x000D_ _x000D_ 13 Porque Él nos libró del dominio[a] de las tinieblas(A) y nos trasladó al reino de su Hijo amado[b](B), _x000D_ </v>
      </c>
      <c r="H60" s="4">
        <f t="shared" si="6"/>
        <v>60</v>
      </c>
      <c r="I60" s="4">
        <f t="shared" si="7"/>
        <v>58</v>
      </c>
      <c r="J60" s="4"/>
      <c r="K60" s="4">
        <v>3481</v>
      </c>
      <c r="L60" s="4">
        <v>0</v>
      </c>
    </row>
    <row r="61" spans="1:12" ht="45" x14ac:dyDescent="0.25">
      <c r="A61" s="2">
        <f>IF(BD_Versos[[#This Row],[Tema_Principal]]="","",ROW(BD_Versos[[#This Row],[Tema_Principal]])-1)</f>
        <v>60</v>
      </c>
      <c r="B61" s="3" t="s">
        <v>44</v>
      </c>
      <c r="C61" s="2" t="s">
        <v>120</v>
      </c>
      <c r="D61" s="4" t="s">
        <v>40</v>
      </c>
      <c r="E61" s="4">
        <v>2</v>
      </c>
      <c r="F61" s="5" t="s">
        <v>41</v>
      </c>
      <c r="G61" s="6" t="str" cm="1">
        <f t="array" ref="G61">IF(OR(BD_Versos[[#This Row],[Libro]]="",BD_Versos[[#This Row],[Capítulo]]="",BD_Versos[[#This Row],[Versículo]]=""),"",ExtraerPasaje(_xlfn.CONCAT(BD_Versos[[#This Row],[Libro]],BD_Versos[[#This Row],[Capítulo]],":",BD_Versos[[#This Row],[Versículo]])))</f>
        <v xml:space="preserve">_x000D_ _x000D_ 9 inicuo cuya venida[a] es conforme a la actividad[b] de Satanás(A), con todo poder y señales[c](B) y prodigios mentirosos[d], _x000D_ </v>
      </c>
      <c r="H61" s="4">
        <f t="shared" si="6"/>
        <v>61</v>
      </c>
      <c r="I61" s="4">
        <f t="shared" si="7"/>
        <v>59</v>
      </c>
      <c r="J61" s="4" t="s">
        <v>132</v>
      </c>
      <c r="K61" s="4">
        <v>3481</v>
      </c>
      <c r="L61" s="4">
        <v>0</v>
      </c>
    </row>
    <row r="62" spans="1:12" ht="45" x14ac:dyDescent="0.25">
      <c r="A62" s="2">
        <f>IF(BD_Versos[[#This Row],[Tema_Principal]]="","",ROW(BD_Versos[[#This Row],[Tema_Principal]])-1)</f>
        <v>61</v>
      </c>
      <c r="B62" s="3" t="s">
        <v>44</v>
      </c>
      <c r="C62" s="2" t="s">
        <v>120</v>
      </c>
      <c r="D62" s="4" t="s">
        <v>23</v>
      </c>
      <c r="E62" s="4">
        <v>2</v>
      </c>
      <c r="F62" s="5" t="s">
        <v>51</v>
      </c>
      <c r="G62" s="6" t="str" cm="1">
        <f t="array" ref="G62">IF(OR(BD_Versos[[#This Row],[Libro]]="",BD_Versos[[#This Row],[Capítulo]]="",BD_Versos[[#This Row],[Versículo]]=""),"",ExtraerPasaje(_xlfn.CONCAT(BD_Versos[[#This Row],[Libro]],BD_Versos[[#This Row],[Capítulo]],":",BD_Versos[[#This Row],[Versículo]])))</f>
        <v xml:space="preserve">_x000D_ _x000D_ 26 y volviendo en sí, escapen del lazo del diablo(A), habiendo estado cautivos de él(B) para hacer su voluntad._x000D_ </v>
      </c>
      <c r="H62" s="4">
        <f t="shared" si="6"/>
        <v>62</v>
      </c>
      <c r="I62" s="4">
        <f t="shared" si="7"/>
        <v>60</v>
      </c>
      <c r="J62" s="4"/>
      <c r="K62" s="4">
        <v>3481</v>
      </c>
      <c r="L62" s="4">
        <v>0</v>
      </c>
    </row>
    <row r="63" spans="1:12" ht="75" x14ac:dyDescent="0.25">
      <c r="A63" s="2">
        <f>IF(BD_Versos[[#This Row],[Tema_Principal]]="","",ROW(BD_Versos[[#This Row],[Tema_Principal]])-1)</f>
        <v>62</v>
      </c>
      <c r="B63" s="3" t="s">
        <v>44</v>
      </c>
      <c r="C63" s="2" t="s">
        <v>120</v>
      </c>
      <c r="D63" s="4" t="s">
        <v>27</v>
      </c>
      <c r="E63" s="4">
        <v>2</v>
      </c>
      <c r="F63" s="5" t="s">
        <v>47</v>
      </c>
      <c r="G63" s="6" t="str" cm="1">
        <f t="array" ref="G63">IF(OR(BD_Versos[[#This Row],[Libro]]="",BD_Versos[[#This Row],[Capítulo]]="",BD_Versos[[#This Row],[Versículo]]=""),"",ExtraerPasaje(_xlfn.CONCAT(BD_Versos[[#This Row],[Libro]],BD_Versos[[#This Row],[Capítulo]],":",BD_Versos[[#This Row],[Versículo]])))</f>
        <v xml:space="preserve">_x000D_ _x000D_ 14 Así que, por cuanto los hijos participan de carne y sangre[a](A), Él igualmente participó también de lo mismo(B), para anular mediante la muerte el poder(C) de aquel que tenía el poder de la muerte, es decir, el diablo(D), _x000D_ </v>
      </c>
      <c r="H63" s="4">
        <f t="shared" si="6"/>
        <v>63</v>
      </c>
      <c r="I63" s="4">
        <f t="shared" si="7"/>
        <v>61</v>
      </c>
      <c r="J63" s="4"/>
      <c r="K63" s="4">
        <v>3481</v>
      </c>
      <c r="L63" s="4">
        <v>0</v>
      </c>
    </row>
    <row r="64" spans="1:12" ht="45" x14ac:dyDescent="0.25">
      <c r="A64" s="2">
        <f>IF(BD_Versos[[#This Row],[Tema_Principal]]="","",ROW(BD_Versos[[#This Row],[Tema_Principal]])-1)</f>
        <v>63</v>
      </c>
      <c r="B64" s="3" t="s">
        <v>44</v>
      </c>
      <c r="C64" s="2" t="s">
        <v>120</v>
      </c>
      <c r="D64" s="4" t="s">
        <v>42</v>
      </c>
      <c r="E64" s="4">
        <v>11</v>
      </c>
      <c r="F64" s="5" t="s">
        <v>43</v>
      </c>
      <c r="G64" s="6" t="str" cm="1">
        <f t="array" ref="G64">IF(OR(BD_Versos[[#This Row],[Libro]]="",BD_Versos[[#This Row],[Capítulo]]="",BD_Versos[[#This Row],[Versículo]]=""),"",ExtraerPasaje(_xlfn.CONCAT(BD_Versos[[#This Row],[Libro]],BD_Versos[[#This Row],[Capítulo]],":",BD_Versos[[#This Row],[Versículo]])))</f>
        <v xml:space="preserve">_x000D_ _x000D_ 7 Cuando hayan terminado de dar su testimonio, la bestia(A) que sube(B) del abismo(C) hará guerra contra ellos(D), los vencerá y los matará. _x000D_ </v>
      </c>
      <c r="H64" s="4">
        <f t="shared" si="6"/>
        <v>64</v>
      </c>
      <c r="I64" s="4">
        <f t="shared" si="7"/>
        <v>62</v>
      </c>
      <c r="J64" s="4"/>
      <c r="K64" s="4">
        <v>3481</v>
      </c>
      <c r="L64" s="4">
        <v>0</v>
      </c>
    </row>
    <row r="65" spans="1:12" ht="60" x14ac:dyDescent="0.25">
      <c r="A65" s="2">
        <f>IF(BD_Versos[[#This Row],[Tema_Principal]]="","",ROW(BD_Versos[[#This Row],[Tema_Principal]])-1)</f>
        <v>64</v>
      </c>
      <c r="B65" s="3" t="s">
        <v>44</v>
      </c>
      <c r="C65" s="2" t="s">
        <v>120</v>
      </c>
      <c r="D65" s="4" t="s">
        <v>42</v>
      </c>
      <c r="E65" s="4">
        <v>13</v>
      </c>
      <c r="F65" s="5" t="s">
        <v>49</v>
      </c>
      <c r="G65" s="6" t="str" cm="1">
        <f t="array" ref="G65">IF(OR(BD_Versos[[#This Row],[Libro]]="",BD_Versos[[#This Row],[Capítulo]]="",BD_Versos[[#This Row],[Versículo]]=""),"",ExtraerPasaje(_xlfn.CONCAT(BD_Versos[[#This Row],[Libro]],BD_Versos[[#This Row],[Capítulo]],":",BD_Versos[[#This Row],[Versículo]])))</f>
        <v xml:space="preserve">_x000D_ _x000D_ 2 La bestia que vi era semejante a un leopardo(A), sus pies eran como los de un oso(B) y su boca como la boca de un león(C). Y el dragón(D) le dio su poder, su trono(E) y gran autoridad. _x000D_ </v>
      </c>
      <c r="H65" s="4">
        <f t="shared" si="6"/>
        <v>65</v>
      </c>
      <c r="I65" s="4">
        <f t="shared" si="7"/>
        <v>63</v>
      </c>
      <c r="J65" s="4"/>
      <c r="K65" s="4">
        <v>3481</v>
      </c>
      <c r="L65" s="4">
        <v>0</v>
      </c>
    </row>
    <row r="66" spans="1:12" ht="45" x14ac:dyDescent="0.25">
      <c r="A66" s="2">
        <f>IF(BD_Versos[[#This Row],[Tema_Principal]]="","",ROW(BD_Versos[[#This Row],[Tema_Principal]])-1)</f>
        <v>65</v>
      </c>
      <c r="B66" s="3" t="s">
        <v>44</v>
      </c>
      <c r="C66" s="2" t="s">
        <v>120</v>
      </c>
      <c r="D66" s="4" t="s">
        <v>42</v>
      </c>
      <c r="E66" s="4">
        <v>13</v>
      </c>
      <c r="F66" s="5" t="s">
        <v>43</v>
      </c>
      <c r="G66" s="6" t="str" cm="1">
        <f t="array" ref="G66">IF(OR(BD_Versos[[#This Row],[Libro]]="",BD_Versos[[#This Row],[Capítulo]]="",BD_Versos[[#This Row],[Versículo]]=""),"",ExtraerPasaje(_xlfn.CONCAT(BD_Versos[[#This Row],[Libro]],BD_Versos[[#This Row],[Capítulo]],":",BD_Versos[[#This Row],[Versículo]])))</f>
        <v xml:space="preserve">_x000D_ _x000D_ 7 Se le concedió hacer guerra contra los santos(A) y vencerlos; y se le dio autoridad sobre toda tribu, pueblo, lengua y nación(B). _x000D_ </v>
      </c>
      <c r="I66" s="4">
        <f t="shared" si="7"/>
        <v>64</v>
      </c>
      <c r="J66" s="4"/>
      <c r="K66" s="4">
        <v>3481</v>
      </c>
      <c r="L66" s="4">
        <v>0</v>
      </c>
    </row>
    <row r="67" spans="1:12" ht="75" x14ac:dyDescent="0.25">
      <c r="A67" s="2">
        <f>IF(BD_Versos[[#This Row],[Tema_Principal]]="","",ROW(BD_Versos[[#This Row],[Tema_Principal]])-1)</f>
        <v>66</v>
      </c>
      <c r="B67" s="3" t="s">
        <v>44</v>
      </c>
      <c r="C67" s="2" t="s">
        <v>133</v>
      </c>
      <c r="D67" s="4" t="s">
        <v>46</v>
      </c>
      <c r="E67" s="4">
        <v>3</v>
      </c>
      <c r="F67" s="5" t="s">
        <v>28</v>
      </c>
      <c r="G67" s="6" t="str" cm="1">
        <f t="array" ref="G67">IF(OR(BD_Versos[[#This Row],[Libro]]="",BD_Versos[[#This Row],[Capítulo]]="",BD_Versos[[#This Row],[Versículo]]=""),"",ExtraerPasaje(_xlfn.CONCAT(BD_Versos[[#This Row],[Libro]],BD_Versos[[#This Row],[Capítulo]],":",BD_Versos[[#This Row],[Versículo]])))</f>
        <v xml:space="preserve">_x000D_ _x000D_ Desobediencia y caída del hombre_x000D_ _x000D_ 3 Y la serpiente era más astuta(A) que cualquiera de los animales del campo que el Señor Dios había hecho. Y dijo a la mujer: ¿Conque Dios os ha dicho: «No comeréis de ningún árbol del huerto»? _x000D_ </v>
      </c>
      <c r="H67" s="4">
        <f>A68</f>
        <v>67</v>
      </c>
      <c r="J67" s="4"/>
      <c r="K67" s="4">
        <v>3482</v>
      </c>
      <c r="L67" s="4">
        <v>0</v>
      </c>
    </row>
    <row r="68" spans="1:12" ht="60" x14ac:dyDescent="0.25">
      <c r="A68" s="2">
        <f>IF(BD_Versos[[#This Row],[Tema_Principal]]="","",ROW(BD_Versos[[#This Row],[Tema_Principal]])-1)</f>
        <v>67</v>
      </c>
      <c r="B68" s="3" t="s">
        <v>44</v>
      </c>
      <c r="C68" s="2" t="s">
        <v>133</v>
      </c>
      <c r="D68" s="4" t="s">
        <v>46</v>
      </c>
      <c r="E68" s="4">
        <v>3</v>
      </c>
      <c r="F68" s="5" t="s">
        <v>144</v>
      </c>
      <c r="G68" s="6" t="str" cm="1">
        <f t="array" ref="G68">IF(OR(BD_Versos[[#This Row],[Libro]]="",BD_Versos[[#This Row],[Capítulo]]="",BD_Versos[[#This Row],[Versículo]]=""),"",ExtraerPasaje(_xlfn.CONCAT(BD_Versos[[#This Row],[Libro]],BD_Versos[[#This Row],[Capítulo]],":",BD_Versos[[#This Row],[Versículo]])))</f>
        <v xml:space="preserve">_x000D_ _x000D_ 4 Y la serpiente dijo a la mujer: Ciertamente no moriréis(A). 5 Pues Dios sabe que el día que de él comáis, serán abiertos vuestros ojos y seréis como Dios, conociendo el bien y el mal(B). _x000D_ </v>
      </c>
      <c r="H68" s="4">
        <f t="shared" ref="H68:H120" si="8">A69</f>
        <v>68</v>
      </c>
      <c r="I68" s="4">
        <f>A67</f>
        <v>66</v>
      </c>
      <c r="J68" s="4" t="s">
        <v>145</v>
      </c>
      <c r="K68" s="4">
        <v>3482</v>
      </c>
      <c r="L68" s="4">
        <v>0</v>
      </c>
    </row>
    <row r="69" spans="1:12" ht="45" x14ac:dyDescent="0.25">
      <c r="A69" s="2">
        <f>IF(BD_Versos[[#This Row],[Tema_Principal]]="","",ROW(BD_Versos[[#This Row],[Tema_Principal]])-1)</f>
        <v>68</v>
      </c>
      <c r="B69" s="3" t="s">
        <v>44</v>
      </c>
      <c r="C69" s="2" t="s">
        <v>133</v>
      </c>
      <c r="D69" s="4" t="s">
        <v>134</v>
      </c>
      <c r="E69" s="4">
        <v>21</v>
      </c>
      <c r="F69" s="5" t="s">
        <v>28</v>
      </c>
      <c r="G69" s="6" t="str" cm="1">
        <f t="array" ref="G69">IF(OR(BD_Versos[[#This Row],[Libro]]="",BD_Versos[[#This Row],[Capítulo]]="",BD_Versos[[#This Row],[Versículo]]=""),"",ExtraerPasaje(_xlfn.CONCAT(BD_Versos[[#This Row],[Libro]],BD_Versos[[#This Row],[Capítulo]],":",BD_Versos[[#This Row],[Versículo]])))</f>
        <v xml:space="preserve">_x000D_ _x000D_ David ordena un censo_x000D_ _x000D_ 21 (A)Y se levantó Satanás contra Israel e incitó a David a hacer un censo de Israel. _x000D_ </v>
      </c>
      <c r="H69" s="4">
        <f t="shared" si="8"/>
        <v>69</v>
      </c>
      <c r="I69" s="4">
        <f t="shared" ref="I69:I121" si="9">A68</f>
        <v>67</v>
      </c>
      <c r="J69" s="4" t="s">
        <v>156</v>
      </c>
      <c r="K69" s="4">
        <v>3482</v>
      </c>
      <c r="L69" s="4">
        <v>0</v>
      </c>
    </row>
    <row r="70" spans="1:12" ht="120" x14ac:dyDescent="0.25">
      <c r="A70" s="2">
        <f>IF(BD_Versos[[#This Row],[Tema_Principal]]="","",ROW(BD_Versos[[#This Row],[Tema_Principal]])-1)</f>
        <v>69</v>
      </c>
      <c r="B70" s="3" t="s">
        <v>44</v>
      </c>
      <c r="C70" s="2" t="s">
        <v>133</v>
      </c>
      <c r="D70" s="4" t="s">
        <v>48</v>
      </c>
      <c r="E70" s="4">
        <v>1</v>
      </c>
      <c r="F70" s="5" t="s">
        <v>146</v>
      </c>
      <c r="G70" s="6" t="str" cm="1">
        <f t="array" ref="G70">IF(OR(BD_Versos[[#This Row],[Libro]]="",BD_Versos[[#This Row],[Capítulo]]="",BD_Versos[[#This Row],[Versículo]]=""),"",ExtraerPasaje(_xlfn.CONCAT(BD_Versos[[#This Row],[Libro]],BD_Versos[[#This Row],[Capítulo]],":",BD_Versos[[#This Row],[Versículo]])))</f>
        <v xml:space="preserve">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 </v>
      </c>
      <c r="H70" s="4">
        <f t="shared" si="8"/>
        <v>70</v>
      </c>
      <c r="I70" s="4">
        <f t="shared" si="9"/>
        <v>68</v>
      </c>
      <c r="J70" s="4" t="s">
        <v>147</v>
      </c>
      <c r="K70" s="4">
        <v>3482</v>
      </c>
      <c r="L70" s="4">
        <v>0</v>
      </c>
    </row>
    <row r="71" spans="1:12" ht="45" x14ac:dyDescent="0.25">
      <c r="A71" s="2">
        <f>IF(BD_Versos[[#This Row],[Tema_Principal]]="","",ROW(BD_Versos[[#This Row],[Tema_Principal]])-1)</f>
        <v>70</v>
      </c>
      <c r="B71" s="3" t="s">
        <v>44</v>
      </c>
      <c r="C71" s="2" t="s">
        <v>133</v>
      </c>
      <c r="D71" s="4" t="s">
        <v>48</v>
      </c>
      <c r="E71" s="4">
        <v>2</v>
      </c>
      <c r="F71" s="5" t="s">
        <v>43</v>
      </c>
      <c r="G71" s="6" t="str" cm="1">
        <f t="array" ref="G71">IF(OR(BD_Versos[[#This Row],[Libro]]="",BD_Versos[[#This Row],[Capítulo]]="",BD_Versos[[#This Row],[Versículo]]=""),"",ExtraerPasaje(_xlfn.CONCAT(BD_Versos[[#This Row],[Libro]],BD_Versos[[#This Row],[Capítulo]],":",BD_Versos[[#This Row],[Versículo]])))</f>
        <v xml:space="preserve">_x000D_ _x000D_ 7 Satanás salió de la presencia del Señor, e hirió a Job con llagas malignas[a] desde la planta del pie hasta la coronilla(A). _x000D_ </v>
      </c>
      <c r="H71" s="4">
        <f t="shared" si="8"/>
        <v>71</v>
      </c>
      <c r="I71" s="4">
        <f t="shared" si="9"/>
        <v>69</v>
      </c>
      <c r="J71" s="4" t="s">
        <v>148</v>
      </c>
      <c r="K71" s="4">
        <v>3482</v>
      </c>
      <c r="L71" s="4">
        <v>0</v>
      </c>
    </row>
    <row r="72" spans="1:12" ht="30" x14ac:dyDescent="0.25">
      <c r="A72" s="2">
        <f>IF(BD_Versos[[#This Row],[Tema_Principal]]="","",ROW(BD_Versos[[#This Row],[Tema_Principal]])-1)</f>
        <v>71</v>
      </c>
      <c r="B72" s="3" t="s">
        <v>44</v>
      </c>
      <c r="C72" s="2" t="s">
        <v>133</v>
      </c>
      <c r="D72" s="4" t="s">
        <v>71</v>
      </c>
      <c r="E72" s="4">
        <v>109</v>
      </c>
      <c r="F72" s="5" t="s">
        <v>34</v>
      </c>
      <c r="G72" s="6" t="str" cm="1">
        <f t="array" ref="G72">IF(OR(BD_Versos[[#This Row],[Libro]]="",BD_Versos[[#This Row],[Capítulo]]="",BD_Versos[[#This Row],[Versículo]]=""),"",ExtraerPasaje(_xlfn.CONCAT(BD_Versos[[#This Row],[Libro]],BD_Versos[[#This Row],[Capítulo]],":",BD_Versos[[#This Row],[Versículo]])))</f>
        <v xml:space="preserve">_x000D_ _x000D_ _x000D_ 6 Pon a un impío sobre él,_x000D_ y que un acusador[a] esté a su diestra(A)._x000D_ </v>
      </c>
      <c r="H72" s="4">
        <f t="shared" si="8"/>
        <v>72</v>
      </c>
      <c r="I72" s="4">
        <f t="shared" si="9"/>
        <v>70</v>
      </c>
      <c r="J72" s="4"/>
      <c r="K72" s="4">
        <v>3482</v>
      </c>
      <c r="L72" s="4">
        <v>0</v>
      </c>
    </row>
    <row r="73" spans="1:12" ht="60" x14ac:dyDescent="0.25">
      <c r="A73" s="2">
        <f>IF(BD_Versos[[#This Row],[Tema_Principal]]="","",ROW(BD_Versos[[#This Row],[Tema_Principal]])-1)</f>
        <v>72</v>
      </c>
      <c r="B73" s="3" t="s">
        <v>44</v>
      </c>
      <c r="C73" s="2" t="s">
        <v>133</v>
      </c>
      <c r="D73" s="4" t="s">
        <v>135</v>
      </c>
      <c r="E73" s="4">
        <v>3</v>
      </c>
      <c r="F73" s="5" t="s">
        <v>28</v>
      </c>
      <c r="G73" s="6" t="str" cm="1">
        <f t="array" ref="G73">IF(OR(BD_Versos[[#This Row],[Libro]]="",BD_Versos[[#This Row],[Capítulo]]="",BD_Versos[[#This Row],[Versículo]]=""),"",ExtraerPasaje(_xlfn.CONCAT(BD_Versos[[#This Row],[Libro]],BD_Versos[[#This Row],[Capítulo]],":",BD_Versos[[#This Row],[Versículo]])))</f>
        <v xml:space="preserve">_x000D_ _x000D_ Visión sobre el sumo sacerdote Josué_x000D_ _x000D_ 3 Entonces me mostró al sumo sacerdote Josué(A), que estaba delante del ángel del Señor; y Satanás[a] estaba a su derecha para acusarlo(B). _x000D_ </v>
      </c>
      <c r="H73" s="4">
        <f t="shared" si="8"/>
        <v>73</v>
      </c>
      <c r="I73" s="4">
        <f t="shared" si="9"/>
        <v>71</v>
      </c>
      <c r="J73" s="4" t="s">
        <v>149</v>
      </c>
      <c r="K73" s="4">
        <v>3482</v>
      </c>
      <c r="L73" s="4">
        <v>0</v>
      </c>
    </row>
    <row r="74" spans="1:12" ht="45" x14ac:dyDescent="0.25">
      <c r="A74" s="2">
        <f>IF(BD_Versos[[#This Row],[Tema_Principal]]="","",ROW(BD_Versos[[#This Row],[Tema_Principal]])-1)</f>
        <v>73</v>
      </c>
      <c r="B74" s="3" t="s">
        <v>44</v>
      </c>
      <c r="C74" s="2" t="s">
        <v>133</v>
      </c>
      <c r="D74" s="4" t="s">
        <v>50</v>
      </c>
      <c r="E74" s="4">
        <v>4</v>
      </c>
      <c r="F74" s="5" t="s">
        <v>28</v>
      </c>
      <c r="G74" s="6" t="str" cm="1">
        <f t="array" ref="G74">IF(OR(BD_Versos[[#This Row],[Libro]]="",BD_Versos[[#This Row],[Capítulo]]="",BD_Versos[[#This Row],[Versículo]]=""),"",ExtraerPasaje(_xlfn.CONCAT(BD_Versos[[#This Row],[Libro]],BD_Versos[[#This Row],[Capítulo]],":",BD_Versos[[#This Row],[Versículo]])))</f>
        <v xml:space="preserve">_x000D_ _x000D_ Jesús es tentado_x000D_ _x000D_ 4 (A)Entonces Jesús fue llevado por el Espíritu al desierto para ser tentado por el diablo. _x000D_ </v>
      </c>
      <c r="H74" s="4">
        <f t="shared" si="8"/>
        <v>74</v>
      </c>
      <c r="I74" s="4">
        <f t="shared" si="9"/>
        <v>72</v>
      </c>
      <c r="J74" s="4" t="s">
        <v>150</v>
      </c>
      <c r="K74" s="4">
        <v>3482</v>
      </c>
      <c r="L74" s="4">
        <v>0</v>
      </c>
    </row>
    <row r="75" spans="1:12" ht="45" x14ac:dyDescent="0.25">
      <c r="A75" s="2">
        <f>IF(BD_Versos[[#This Row],[Tema_Principal]]="","",ROW(BD_Versos[[#This Row],[Tema_Principal]])-1)</f>
        <v>74</v>
      </c>
      <c r="B75" s="3" t="s">
        <v>44</v>
      </c>
      <c r="C75" s="2" t="s">
        <v>133</v>
      </c>
      <c r="D75" s="4" t="s">
        <v>50</v>
      </c>
      <c r="E75" s="4">
        <v>4</v>
      </c>
      <c r="F75" s="5" t="s">
        <v>38</v>
      </c>
      <c r="G75" s="6" t="str" cm="1">
        <f t="array" ref="G75">IF(OR(BD_Versos[[#This Row],[Libro]]="",BD_Versos[[#This Row],[Capítulo]]="",BD_Versos[[#This Row],[Versículo]]=""),"",ExtraerPasaje(_xlfn.CONCAT(BD_Versos[[#This Row],[Libro]],BD_Versos[[#This Row],[Capítulo]],":",BD_Versos[[#This Row],[Versículo]])))</f>
        <v xml:space="preserve">_x000D_ _x000D_ 3 Y acercándose el tentador(A), le dijo: Si eres Hijo de Dios(B), di que estas piedras se conviertan en pan[a]. _x000D_ </v>
      </c>
      <c r="H75" s="4">
        <f t="shared" si="8"/>
        <v>75</v>
      </c>
      <c r="I75" s="4">
        <f t="shared" si="9"/>
        <v>73</v>
      </c>
      <c r="J75" s="4"/>
      <c r="K75" s="4">
        <v>3482</v>
      </c>
      <c r="L75" s="4">
        <v>0</v>
      </c>
    </row>
    <row r="76" spans="1:12" ht="75" x14ac:dyDescent="0.25">
      <c r="A76" s="2">
        <f>IF(BD_Versos[[#This Row],[Tema_Principal]]="","",ROW(BD_Versos[[#This Row],[Tema_Principal]])-1)</f>
        <v>75</v>
      </c>
      <c r="B76" s="3" t="s">
        <v>44</v>
      </c>
      <c r="C76" s="2" t="s">
        <v>133</v>
      </c>
      <c r="D76" s="4" t="s">
        <v>50</v>
      </c>
      <c r="E76" s="4">
        <v>8</v>
      </c>
      <c r="F76" s="5" t="s">
        <v>136</v>
      </c>
      <c r="G76" s="6" t="str" cm="1">
        <f t="array" ref="G76">IF(OR(BD_Versos[[#This Row],[Libro]]="",BD_Versos[[#This Row],[Capítulo]]="",BD_Versos[[#This Row],[Versículo]]=""),"",ExtraerPasaje(_xlfn.CONCAT(BD_Versos[[#This Row],[Libro]],BD_Versos[[#This Row],[Capítulo]],":",BD_Versos[[#This Row],[Versículo]])))</f>
        <v xml:space="preserve">_x000D_ _x000D_ Los endemoniados gadarenos_x000D_ _x000D_ 28 (A)Cuando llegó al otro lado, a la tierra de los gadarenos, le salieron al encuentro dos endemoniados(B) que salían de los sepulcros, violentos en extremo, de manera que nadie podía pasar por aquel camino. _x000D_ </v>
      </c>
      <c r="H76" s="4">
        <f t="shared" si="8"/>
        <v>76</v>
      </c>
      <c r="I76" s="4">
        <f t="shared" si="9"/>
        <v>74</v>
      </c>
      <c r="J76" s="4"/>
      <c r="K76" s="4">
        <v>3482</v>
      </c>
      <c r="L76" s="4">
        <v>0</v>
      </c>
    </row>
    <row r="77" spans="1:12" ht="30" x14ac:dyDescent="0.25">
      <c r="A77" s="2">
        <f>IF(BD_Versos[[#This Row],[Tema_Principal]]="","",ROW(BD_Versos[[#This Row],[Tema_Principal]])-1)</f>
        <v>76</v>
      </c>
      <c r="B77" s="3" t="s">
        <v>44</v>
      </c>
      <c r="C77" s="2" t="s">
        <v>133</v>
      </c>
      <c r="D77" s="4" t="s">
        <v>50</v>
      </c>
      <c r="E77" s="4">
        <v>13</v>
      </c>
      <c r="F77" s="5" t="s">
        <v>122</v>
      </c>
      <c r="G77" s="6" t="str" cm="1">
        <f t="array" ref="G77">IF(OR(BD_Versos[[#This Row],[Libro]]="",BD_Versos[[#This Row],[Capítulo]]="",BD_Versos[[#This Row],[Versículo]]=""),"",ExtraerPasaje(_xlfn.CONCAT(BD_Versos[[#This Row],[Libro]],BD_Versos[[#This Row],[Capítulo]],":",BD_Versos[[#This Row],[Versículo]])))</f>
        <v xml:space="preserve">_x000D_ _x000D_ 4 y al sembrar, parte de la semilla cayó junto al camino, y vinieron las aves y se la comieron. _x000D_ </v>
      </c>
      <c r="H77" s="4">
        <f t="shared" si="8"/>
        <v>77</v>
      </c>
      <c r="I77" s="4">
        <f t="shared" si="9"/>
        <v>75</v>
      </c>
      <c r="J77" s="4"/>
      <c r="K77" s="4">
        <v>3482</v>
      </c>
      <c r="L77" s="4">
        <v>0</v>
      </c>
    </row>
    <row r="78" spans="1:12" ht="60" x14ac:dyDescent="0.25">
      <c r="A78" s="2">
        <f>IF(BD_Versos[[#This Row],[Tema_Principal]]="","",ROW(BD_Versos[[#This Row],[Tema_Principal]])-1)</f>
        <v>77</v>
      </c>
      <c r="B78" s="3" t="s">
        <v>44</v>
      </c>
      <c r="C78" s="2" t="s">
        <v>133</v>
      </c>
      <c r="D78" s="4" t="s">
        <v>50</v>
      </c>
      <c r="E78" s="4">
        <v>13</v>
      </c>
      <c r="F78" s="5" t="s">
        <v>137</v>
      </c>
      <c r="G78" s="6" t="str" cm="1">
        <f t="array" ref="G78">IF(OR(BD_Versos[[#This Row],[Libro]]="",BD_Versos[[#This Row],[Capítulo]]="",BD_Versos[[#This Row],[Versículo]]=""),"",ExtraerPasaje(_xlfn.CONCAT(BD_Versos[[#This Row],[Libro]],BD_Versos[[#This Row],[Capítulo]],":",BD_Versos[[#This Row],[Versículo]])))</f>
        <v xml:space="preserve">_x000D_ _x000D_ 19 A todo el que oye la palabra del reino(A) y no la entiende, el maligno viene(B) y arrebata lo que fue sembrado en su corazón. Este es aquel en quien se sembró la semilla junto al camino. _x000D_ </v>
      </c>
      <c r="H78" s="4">
        <f t="shared" si="8"/>
        <v>78</v>
      </c>
      <c r="I78" s="4">
        <f t="shared" si="9"/>
        <v>76</v>
      </c>
      <c r="J78" s="4" t="s">
        <v>151</v>
      </c>
      <c r="K78" s="4">
        <v>3482</v>
      </c>
      <c r="L78" s="4">
        <v>0</v>
      </c>
    </row>
    <row r="79" spans="1:12" ht="30" x14ac:dyDescent="0.25">
      <c r="A79" s="2">
        <f>IF(BD_Versos[[#This Row],[Tema_Principal]]="","",ROW(BD_Versos[[#This Row],[Tema_Principal]])-1)</f>
        <v>78</v>
      </c>
      <c r="B79" s="3" t="s">
        <v>44</v>
      </c>
      <c r="C79" s="2" t="s">
        <v>133</v>
      </c>
      <c r="D79" s="4" t="s">
        <v>50</v>
      </c>
      <c r="E79" s="4">
        <v>13</v>
      </c>
      <c r="F79" s="5" t="s">
        <v>138</v>
      </c>
      <c r="G79" s="6" t="str" cm="1">
        <f t="array" ref="G79">IF(OR(BD_Versos[[#This Row],[Libro]]="",BD_Versos[[#This Row],[Capítulo]]="",BD_Versos[[#This Row],[Versículo]]=""),"",ExtraerPasaje(_xlfn.CONCAT(BD_Versos[[#This Row],[Libro]],BD_Versos[[#This Row],[Capítulo]],":",BD_Versos[[#This Row],[Versículo]])))</f>
        <v xml:space="preserve">_x000D_ _x000D_ 25 Pero mientras los hombres dormían, vino su enemigo y sembró cizaña[a] entre el trigo, y se fue. _x000D_ </v>
      </c>
      <c r="H79" s="4">
        <f t="shared" si="8"/>
        <v>79</v>
      </c>
      <c r="I79" s="4">
        <f t="shared" si="9"/>
        <v>77</v>
      </c>
      <c r="J79" s="4" t="s">
        <v>152</v>
      </c>
      <c r="K79" s="4">
        <v>3482</v>
      </c>
      <c r="L79" s="4">
        <v>0</v>
      </c>
    </row>
    <row r="80" spans="1:12" ht="75" x14ac:dyDescent="0.25">
      <c r="A80" s="2">
        <f>IF(BD_Versos[[#This Row],[Tema_Principal]]="","",ROW(BD_Versos[[#This Row],[Tema_Principal]])-1)</f>
        <v>79</v>
      </c>
      <c r="B80" s="3" t="s">
        <v>44</v>
      </c>
      <c r="C80" s="2" t="s">
        <v>133</v>
      </c>
      <c r="D80" s="4" t="s">
        <v>50</v>
      </c>
      <c r="E80" s="4">
        <v>13</v>
      </c>
      <c r="F80" s="5" t="s">
        <v>153</v>
      </c>
      <c r="G80" s="6" t="str" cm="1">
        <f t="array" ref="G80">IF(OR(BD_Versos[[#This Row],[Libro]]="",BD_Versos[[#This Row],[Capítulo]]="",BD_Versos[[#This Row],[Versículo]]=""),"",ExtraerPasaje(_xlfn.CONCAT(BD_Versos[[#This Row],[Libro]],BD_Versos[[#This Row],[Capítulo]],":",BD_Versos[[#This Row],[Versículo]])))</f>
        <v xml:space="preserve">_x000D_ _x000D_ 38 y el campo es el mundo; y la buena semilla son[a] los hijos del reino(A), y la cizaña son los hijos(B) del maligno(C); 39 y el enemigo que la sembró es el diablo, y la siega es el fin[b] del mundo[c](D), y los segadores son los ángeles. _x000D_ </v>
      </c>
      <c r="H80" s="4">
        <f t="shared" si="8"/>
        <v>80</v>
      </c>
      <c r="I80" s="4">
        <f t="shared" si="9"/>
        <v>78</v>
      </c>
      <c r="J80" s="4" t="s">
        <v>152</v>
      </c>
      <c r="K80" s="4">
        <v>3482</v>
      </c>
      <c r="L80" s="4">
        <v>0</v>
      </c>
    </row>
    <row r="81" spans="1:12" ht="60" x14ac:dyDescent="0.25">
      <c r="A81" s="2">
        <f>IF(BD_Versos[[#This Row],[Tema_Principal]]="","",ROW(BD_Versos[[#This Row],[Tema_Principal]])-1)</f>
        <v>80</v>
      </c>
      <c r="B81" s="3" t="s">
        <v>44</v>
      </c>
      <c r="C81" s="2" t="s">
        <v>133</v>
      </c>
      <c r="D81" s="4" t="s">
        <v>50</v>
      </c>
      <c r="E81" s="4">
        <v>15</v>
      </c>
      <c r="F81" s="5" t="s">
        <v>114</v>
      </c>
      <c r="G81" s="6" t="str" cm="1">
        <f t="array" ref="G81">IF(OR(BD_Versos[[#This Row],[Libro]]="",BD_Versos[[#This Row],[Capítulo]]="",BD_Versos[[#This Row],[Versículo]]=""),"",ExtraerPasaje(_xlfn.CONCAT(BD_Versos[[#This Row],[Libro]],BD_Versos[[#This Row],[Capítulo]],":",BD_Versos[[#This Row],[Versículo]])))</f>
        <v xml:space="preserve">_x000D_ _x000D_ 22 Y he aquí, una mujer cananea que había salido de aquella comarca, comenzó a gritar, diciendo: Señor, Hijo de David(A), ten misericordia de mí; mi hija está terriblemente endemoniada(B). _x000D_ </v>
      </c>
      <c r="H81" s="4">
        <f t="shared" si="8"/>
        <v>81</v>
      </c>
      <c r="I81" s="4">
        <f t="shared" si="9"/>
        <v>79</v>
      </c>
      <c r="J81" s="4" t="s">
        <v>154</v>
      </c>
      <c r="K81" s="4">
        <v>3482</v>
      </c>
      <c r="L81" s="4">
        <v>0</v>
      </c>
    </row>
    <row r="82" spans="1:12" ht="60" x14ac:dyDescent="0.25">
      <c r="A82" s="2">
        <f>IF(BD_Versos[[#This Row],[Tema_Principal]]="","",ROW(BD_Versos[[#This Row],[Tema_Principal]])-1)</f>
        <v>81</v>
      </c>
      <c r="B82" s="3" t="s">
        <v>44</v>
      </c>
      <c r="C82" s="2" t="s">
        <v>133</v>
      </c>
      <c r="D82" s="4" t="s">
        <v>50</v>
      </c>
      <c r="E82" s="4">
        <v>17</v>
      </c>
      <c r="F82" s="5" t="s">
        <v>31</v>
      </c>
      <c r="G82" s="6" t="str" cm="1">
        <f t="array" ref="G82">IF(OR(BD_Versos[[#This Row],[Libro]]="",BD_Versos[[#This Row],[Capítulo]]="",BD_Versos[[#This Row],[Versículo]]=""),"",ExtraerPasaje(_xlfn.CONCAT(BD_Versos[[#This Row],[Libro]],BD_Versos[[#This Row],[Capítulo]],":",BD_Versos[[#This Row],[Versículo]])))</f>
        <v xml:space="preserve">_x000D_ _x000D_ 15 Señor, ten misericordia de mi hijo, porque es epiléptico[a](A) y sufre terriblemente, porque muchas veces cae en el fuego y muchas en el agua. _x000D_ </v>
      </c>
      <c r="H82" s="4">
        <f t="shared" si="8"/>
        <v>82</v>
      </c>
      <c r="I82" s="4">
        <f t="shared" si="9"/>
        <v>80</v>
      </c>
      <c r="J82" s="4"/>
      <c r="K82" s="4">
        <v>3482</v>
      </c>
      <c r="L82" s="4">
        <v>0</v>
      </c>
    </row>
    <row r="83" spans="1:12" ht="30" x14ac:dyDescent="0.25">
      <c r="A83" s="2">
        <f>IF(BD_Versos[[#This Row],[Tema_Principal]]="","",ROW(BD_Versos[[#This Row],[Tema_Principal]])-1)</f>
        <v>82</v>
      </c>
      <c r="B83" s="3" t="s">
        <v>44</v>
      </c>
      <c r="C83" s="2" t="s">
        <v>133</v>
      </c>
      <c r="D83" s="4" t="s">
        <v>30</v>
      </c>
      <c r="E83" s="4">
        <v>1</v>
      </c>
      <c r="F83" s="5" t="s">
        <v>51</v>
      </c>
      <c r="G83" s="6" t="str" cm="1">
        <f t="array" ref="G83">IF(OR(BD_Versos[[#This Row],[Libro]]="",BD_Versos[[#This Row],[Capítulo]]="",BD_Versos[[#This Row],[Versículo]]=""),"",ExtraerPasaje(_xlfn.CONCAT(BD_Versos[[#This Row],[Libro]],BD_Versos[[#This Row],[Capítulo]],":",BD_Versos[[#This Row],[Versículo]])))</f>
        <v xml:space="preserve">_x000D_ _x000D_ 26 Entonces el espíritu inmundo, causándole convulsiones, gritó a gran voz y salió de él. _x000D_ </v>
      </c>
      <c r="H83" s="4">
        <f t="shared" si="8"/>
        <v>83</v>
      </c>
      <c r="I83" s="4">
        <f t="shared" si="9"/>
        <v>81</v>
      </c>
      <c r="J83" s="4"/>
      <c r="K83" s="4">
        <v>3482</v>
      </c>
      <c r="L83" s="4">
        <v>0</v>
      </c>
    </row>
    <row r="84" spans="1:12" ht="60" x14ac:dyDescent="0.25">
      <c r="A84" s="2">
        <f>IF(BD_Versos[[#This Row],[Tema_Principal]]="","",ROW(BD_Versos[[#This Row],[Tema_Principal]])-1)</f>
        <v>83</v>
      </c>
      <c r="B84" s="3" t="s">
        <v>44</v>
      </c>
      <c r="C84" s="2" t="s">
        <v>133</v>
      </c>
      <c r="D84" s="4" t="s">
        <v>30</v>
      </c>
      <c r="E84" s="4">
        <v>4</v>
      </c>
      <c r="F84" s="5" t="s">
        <v>31</v>
      </c>
      <c r="G84" s="6" t="str" cm="1">
        <f t="array" ref="G84">IF(OR(BD_Versos[[#This Row],[Libro]]="",BD_Versos[[#This Row],[Capítulo]]="",BD_Versos[[#This Row],[Versículo]]=""),"",ExtraerPasaje(_xlfn.CONCAT(BD_Versos[[#This Row],[Libro]],BD_Versos[[#This Row],[Capítulo]],":",BD_Versos[[#This Row],[Versículo]])))</f>
        <v xml:space="preserve">_x000D_ _x000D_ 15 Y estos que están junto al camino donde se siembra la palabra, son aquellos que en cuanto la oyen, al instante viene Satanás(A) y se lleva la palabra que se ha sembrado en ellos. _x000D_ </v>
      </c>
      <c r="H84" s="4">
        <f t="shared" si="8"/>
        <v>84</v>
      </c>
      <c r="I84" s="4">
        <f t="shared" si="9"/>
        <v>82</v>
      </c>
      <c r="J84" s="4" t="s">
        <v>151</v>
      </c>
      <c r="K84" s="4">
        <v>3482</v>
      </c>
      <c r="L84" s="4">
        <v>0</v>
      </c>
    </row>
    <row r="85" spans="1:12" ht="45" x14ac:dyDescent="0.25">
      <c r="A85" s="2">
        <f>IF(BD_Versos[[#This Row],[Tema_Principal]]="","",ROW(BD_Versos[[#This Row],[Tema_Principal]])-1)</f>
        <v>84</v>
      </c>
      <c r="B85" s="3" t="s">
        <v>44</v>
      </c>
      <c r="C85" s="2" t="s">
        <v>133</v>
      </c>
      <c r="D85" s="4" t="s">
        <v>30</v>
      </c>
      <c r="E85" s="4">
        <v>5</v>
      </c>
      <c r="F85" s="5" t="s">
        <v>35</v>
      </c>
      <c r="G85" s="6" t="str" cm="1">
        <f t="array" ref="G85">IF(OR(BD_Versos[[#This Row],[Libro]]="",BD_Versos[[#This Row],[Capítulo]]="",BD_Versos[[#This Row],[Versículo]]=""),"",ExtraerPasaje(_xlfn.CONCAT(BD_Versos[[#This Row],[Libro]],BD_Versos[[#This Row],[Capítulo]],":",BD_Versos[[#This Row],[Versículo]])))</f>
        <v xml:space="preserve">_x000D_ _x000D_ 5 Y siempre, noche y día, andaba entre los sepulcros y en los montes dando gritos e hiriéndose con piedras. _x000D_ </v>
      </c>
      <c r="H85" s="4">
        <f t="shared" si="8"/>
        <v>85</v>
      </c>
      <c r="I85" s="4">
        <f t="shared" si="9"/>
        <v>83</v>
      </c>
      <c r="J85" s="4" t="s">
        <v>154</v>
      </c>
      <c r="K85" s="4">
        <v>3482</v>
      </c>
      <c r="L85" s="4">
        <v>0</v>
      </c>
    </row>
    <row r="86" spans="1:12" ht="60" x14ac:dyDescent="0.25">
      <c r="A86" s="2">
        <f>IF(BD_Versos[[#This Row],[Tema_Principal]]="","",ROW(BD_Versos[[#This Row],[Tema_Principal]])-1)</f>
        <v>85</v>
      </c>
      <c r="B86" s="3" t="s">
        <v>44</v>
      </c>
      <c r="C86" s="2" t="s">
        <v>133</v>
      </c>
      <c r="D86" s="4" t="s">
        <v>30</v>
      </c>
      <c r="E86" s="4">
        <v>9</v>
      </c>
      <c r="F86" s="5" t="s">
        <v>117</v>
      </c>
      <c r="G86" s="6" t="str" cm="1">
        <f t="array" ref="G86">IF(OR(BD_Versos[[#This Row],[Libro]]="",BD_Versos[[#This Row],[Capítulo]]="",BD_Versos[[#This Row],[Versículo]]=""),"",ExtraerPasaje(_xlfn.CONCAT(BD_Versos[[#This Row],[Libro]],BD_Versos[[#This Row],[Capítulo]],":",BD_Versos[[#This Row],[Versículo]])))</f>
        <v xml:space="preserve">_x000D_ _x000D_ 20 Y se lo trajeron. Y cuando el espíritu vio a Jesús[a], al instante sacudió con violencia al muchacho[b], y este, cayendo a tierra, se revolcaba echando espumarajos. _x000D_ </v>
      </c>
      <c r="H86" s="4">
        <f t="shared" si="8"/>
        <v>86</v>
      </c>
      <c r="I86" s="4">
        <f t="shared" si="9"/>
        <v>84</v>
      </c>
      <c r="J86" s="4" t="s">
        <v>154</v>
      </c>
      <c r="K86" s="4">
        <v>3482</v>
      </c>
      <c r="L86" s="4">
        <v>0</v>
      </c>
    </row>
    <row r="87" spans="1:12" ht="60" x14ac:dyDescent="0.25">
      <c r="A87" s="2">
        <f>IF(BD_Versos[[#This Row],[Tema_Principal]]="","",ROW(BD_Versos[[#This Row],[Tema_Principal]])-1)</f>
        <v>86</v>
      </c>
      <c r="B87" s="3" t="s">
        <v>44</v>
      </c>
      <c r="C87" s="2" t="s">
        <v>133</v>
      </c>
      <c r="D87" s="4" t="s">
        <v>30</v>
      </c>
      <c r="E87" s="4">
        <v>9</v>
      </c>
      <c r="F87" s="5" t="s">
        <v>114</v>
      </c>
      <c r="G87" s="6" t="str" cm="1">
        <f t="array" ref="G87">IF(OR(BD_Versos[[#This Row],[Libro]]="",BD_Versos[[#This Row],[Capítulo]]="",BD_Versos[[#This Row],[Versículo]]=""),"",ExtraerPasaje(_xlfn.CONCAT(BD_Versos[[#This Row],[Libro]],BD_Versos[[#This Row],[Capítulo]],":",BD_Versos[[#This Row],[Versículo]])))</f>
        <v xml:space="preserve">_x000D_ _x000D_ 22 Y muchas veces lo ha echado en el fuego y también en el agua para destruirlo. Pero si tú puedes hacer algo, ten misericordia de nosotros y ayúdanos. _x000D_ </v>
      </c>
      <c r="H87" s="4">
        <f t="shared" si="8"/>
        <v>87</v>
      </c>
      <c r="I87" s="4">
        <f t="shared" si="9"/>
        <v>85</v>
      </c>
      <c r="J87" s="4" t="s">
        <v>154</v>
      </c>
      <c r="K87" s="4">
        <v>3482</v>
      </c>
      <c r="L87" s="4">
        <v>0</v>
      </c>
    </row>
    <row r="88" spans="1:12" ht="30" x14ac:dyDescent="0.25">
      <c r="A88" s="2">
        <f>IF(BD_Versos[[#This Row],[Tema_Principal]]="","",ROW(BD_Versos[[#This Row],[Tema_Principal]])-1)</f>
        <v>87</v>
      </c>
      <c r="B88" s="3" t="s">
        <v>44</v>
      </c>
      <c r="C88" s="2" t="s">
        <v>133</v>
      </c>
      <c r="D88" s="4" t="s">
        <v>33</v>
      </c>
      <c r="E88" s="4">
        <v>4</v>
      </c>
      <c r="F88" s="5" t="s">
        <v>38</v>
      </c>
      <c r="G88" s="6" t="str" cm="1">
        <f t="array" ref="G88">IF(OR(BD_Versos[[#This Row],[Libro]]="",BD_Versos[[#This Row],[Capítulo]]="",BD_Versos[[#This Row],[Versículo]]=""),"",ExtraerPasaje(_xlfn.CONCAT(BD_Versos[[#This Row],[Libro]],BD_Versos[[#This Row],[Capítulo]],":",BD_Versos[[#This Row],[Versículo]])))</f>
        <v xml:space="preserve">_x000D_ _x000D_ 3 Entonces el diablo le dijo: Si eres Hijo de Dios, di a esta piedra que se convierta en pan. _x000D_ </v>
      </c>
      <c r="H88" s="4">
        <f t="shared" si="8"/>
        <v>88</v>
      </c>
      <c r="I88" s="4">
        <f t="shared" si="9"/>
        <v>86</v>
      </c>
      <c r="J88" s="4" t="s">
        <v>150</v>
      </c>
      <c r="K88" s="4">
        <v>3482</v>
      </c>
      <c r="L88" s="4">
        <v>0</v>
      </c>
    </row>
    <row r="89" spans="1:12" ht="60" x14ac:dyDescent="0.25">
      <c r="A89" s="2">
        <f>IF(BD_Versos[[#This Row],[Tema_Principal]]="","",ROW(BD_Versos[[#This Row],[Tema_Principal]])-1)</f>
        <v>88</v>
      </c>
      <c r="B89" s="3" t="s">
        <v>44</v>
      </c>
      <c r="C89" s="2" t="s">
        <v>133</v>
      </c>
      <c r="D89" s="4" t="s">
        <v>33</v>
      </c>
      <c r="E89" s="4">
        <v>4</v>
      </c>
      <c r="F89" s="5" t="s">
        <v>139</v>
      </c>
      <c r="G89" s="6" t="str" cm="1">
        <f t="array" ref="G89">IF(OR(BD_Versos[[#This Row],[Libro]]="",BD_Versos[[#This Row],[Capítulo]]="",BD_Versos[[#This Row],[Versículo]]=""),"",ExtraerPasaje(_xlfn.CONCAT(BD_Versos[[#This Row],[Libro]],BD_Versos[[#This Row],[Capítulo]],":",BD_Versos[[#This Row],[Versículo]])))</f>
        <v xml:space="preserve">_x000D_ _x000D_ 35 Jesús entonces lo reprendió(A), diciendo: ¡Cállate y sal de él! Y después que el demonio lo derribó en medio de ellos, salió de él sin hacerle ningún daño. _x000D_ </v>
      </c>
      <c r="H89" s="4">
        <f t="shared" si="8"/>
        <v>89</v>
      </c>
      <c r="I89" s="4">
        <f t="shared" si="9"/>
        <v>87</v>
      </c>
      <c r="J89" s="4" t="s">
        <v>150</v>
      </c>
      <c r="K89" s="4">
        <v>3482</v>
      </c>
      <c r="L89" s="4">
        <v>0</v>
      </c>
    </row>
    <row r="90" spans="1:12" ht="60" x14ac:dyDescent="0.25">
      <c r="A90" s="2">
        <f>IF(BD_Versos[[#This Row],[Tema_Principal]]="","",ROW(BD_Versos[[#This Row],[Tema_Principal]])-1)</f>
        <v>89</v>
      </c>
      <c r="B90" s="3" t="s">
        <v>44</v>
      </c>
      <c r="C90" s="2" t="s">
        <v>133</v>
      </c>
      <c r="D90" s="4" t="s">
        <v>33</v>
      </c>
      <c r="E90" s="4">
        <v>8</v>
      </c>
      <c r="F90" s="5" t="s">
        <v>110</v>
      </c>
      <c r="G90" s="6" t="str" cm="1">
        <f t="array" ref="G90">IF(OR(BD_Versos[[#This Row],[Libro]]="",BD_Versos[[#This Row],[Capítulo]]="",BD_Versos[[#This Row],[Versículo]]=""),"",ExtraerPasaje(_xlfn.CONCAT(BD_Versos[[#This Row],[Libro]],BD_Versos[[#This Row],[Capítulo]],":",BD_Versos[[#This Row],[Versículo]])))</f>
        <v xml:space="preserve">_x000D_ _x000D_ 12 Y aquellos a lo largo del camino son los que han oído, pero después viene el diablo y arrebata la palabra de sus corazones, para que no crean y se salven. _x000D_ </v>
      </c>
      <c r="H90" s="4">
        <f t="shared" si="8"/>
        <v>90</v>
      </c>
      <c r="I90" s="4">
        <f t="shared" si="9"/>
        <v>88</v>
      </c>
      <c r="J90" s="4" t="s">
        <v>151</v>
      </c>
      <c r="K90" s="4">
        <v>3482</v>
      </c>
      <c r="L90" s="4">
        <v>0</v>
      </c>
    </row>
    <row r="91" spans="1:12" ht="75" x14ac:dyDescent="0.25">
      <c r="A91" s="2">
        <f>IF(BD_Versos[[#This Row],[Tema_Principal]]="","",ROW(BD_Versos[[#This Row],[Tema_Principal]])-1)</f>
        <v>90</v>
      </c>
      <c r="B91" s="3" t="s">
        <v>44</v>
      </c>
      <c r="C91" s="2" t="s">
        <v>133</v>
      </c>
      <c r="D91" s="4" t="s">
        <v>33</v>
      </c>
      <c r="E91" s="4">
        <v>8</v>
      </c>
      <c r="F91" s="5" t="s">
        <v>112</v>
      </c>
      <c r="G91" s="6" t="str" cm="1">
        <f t="array" ref="G91">IF(OR(BD_Versos[[#This Row],[Libro]]="",BD_Versos[[#This Row],[Capítulo]]="",BD_Versos[[#This Row],[Versículo]]=""),"",ExtraerPasaje(_xlfn.CONCAT(BD_Versos[[#This Row],[Libro]],BD_Versos[[#This Row],[Capítulo]],":",BD_Versos[[#This Row],[Versículo]])))</f>
        <v xml:space="preserve">_x000D_ _x000D_ 27 y cuando Él bajó a tierra, le salió al encuentro un hombre de la ciudad poseído por demonios, y que por mucho tiempo no se había puesto ropa alguna, ni vivía en una casa, sino en los sepulcros. _x000D_ </v>
      </c>
      <c r="H91" s="4">
        <f t="shared" si="8"/>
        <v>91</v>
      </c>
      <c r="I91" s="4">
        <f t="shared" si="9"/>
        <v>89</v>
      </c>
      <c r="J91" s="4"/>
      <c r="K91" s="4">
        <v>3482</v>
      </c>
      <c r="L91" s="4">
        <v>0</v>
      </c>
    </row>
    <row r="92" spans="1:12" ht="90" x14ac:dyDescent="0.25">
      <c r="A92" s="2">
        <f>IF(BD_Versos[[#This Row],[Tema_Principal]]="","",ROW(BD_Versos[[#This Row],[Tema_Principal]])-1)</f>
        <v>91</v>
      </c>
      <c r="B92" s="3" t="s">
        <v>44</v>
      </c>
      <c r="C92" s="2" t="s">
        <v>133</v>
      </c>
      <c r="D92" s="4" t="s">
        <v>33</v>
      </c>
      <c r="E92" s="4">
        <v>8</v>
      </c>
      <c r="F92" s="5" t="s">
        <v>111</v>
      </c>
      <c r="G92" s="6" t="str" cm="1">
        <f t="array" ref="G92">IF(OR(BD_Versos[[#This Row],[Libro]]="",BD_Versos[[#This Row],[Capítulo]]="",BD_Versos[[#This Row],[Versículo]]=""),"",ExtraerPasaje(_xlfn.CONCAT(BD_Versos[[#This Row],[Libro]],BD_Versos[[#This Row],[Capítulo]],":",BD_Versos[[#This Row],[Versículo]])))</f>
        <v xml:space="preserve">_x000D_ _x000D_ 29 Porque Él mandaba al espíritu inmundo que saliera del hombre, pues muchas veces[a] se había apoderado de él, y[b] estaba atado con cadenas y grillos y bajo guardia; a pesar de todo rompía las ataduras y era impelido por el demonio a los desiertos. _x000D_ </v>
      </c>
      <c r="H92" s="4">
        <f t="shared" si="8"/>
        <v>92</v>
      </c>
      <c r="I92" s="4">
        <f t="shared" si="9"/>
        <v>90</v>
      </c>
      <c r="J92" s="4" t="s">
        <v>154</v>
      </c>
      <c r="K92" s="4">
        <v>3482</v>
      </c>
      <c r="L92" s="4">
        <v>0</v>
      </c>
    </row>
    <row r="93" spans="1:12" ht="60" x14ac:dyDescent="0.25">
      <c r="A93" s="2">
        <f>IF(BD_Versos[[#This Row],[Tema_Principal]]="","",ROW(BD_Versos[[#This Row],[Tema_Principal]])-1)</f>
        <v>92</v>
      </c>
      <c r="B93" s="3" t="s">
        <v>44</v>
      </c>
      <c r="C93" s="2" t="s">
        <v>133</v>
      </c>
      <c r="D93" s="4" t="s">
        <v>33</v>
      </c>
      <c r="E93" s="4">
        <v>9</v>
      </c>
      <c r="F93" s="5" t="s">
        <v>140</v>
      </c>
      <c r="G93" s="6" t="str" cm="1">
        <f t="array" ref="G93">IF(OR(BD_Versos[[#This Row],[Libro]]="",BD_Versos[[#This Row],[Capítulo]]="",BD_Versos[[#This Row],[Versículo]]=""),"",ExtraerPasaje(_xlfn.CONCAT(BD_Versos[[#This Row],[Libro]],BD_Versos[[#This Row],[Capítulo]],":",BD_Versos[[#This Row],[Versículo]])))</f>
        <v xml:space="preserve">_x000D_ _x000D_ 39 y sucede que un espíritu se apodera de él, y de repente da gritos, y el espíritu le hace caer con convulsiones, echando[a] espumarajos; y magullándole, a duras penas se aparta de él. _x000D_ </v>
      </c>
      <c r="H93" s="4">
        <f t="shared" si="8"/>
        <v>93</v>
      </c>
      <c r="I93" s="4">
        <f t="shared" si="9"/>
        <v>91</v>
      </c>
      <c r="J93" s="4" t="s">
        <v>154</v>
      </c>
      <c r="K93" s="4">
        <v>3482</v>
      </c>
      <c r="L93" s="4">
        <v>0</v>
      </c>
    </row>
    <row r="94" spans="1:12" ht="60" x14ac:dyDescent="0.25">
      <c r="A94" s="2">
        <f>IF(BD_Versos[[#This Row],[Tema_Principal]]="","",ROW(BD_Versos[[#This Row],[Tema_Principal]])-1)</f>
        <v>93</v>
      </c>
      <c r="B94" s="3" t="s">
        <v>44</v>
      </c>
      <c r="C94" s="2" t="s">
        <v>133</v>
      </c>
      <c r="D94" s="4" t="s">
        <v>33</v>
      </c>
      <c r="E94" s="4">
        <v>9</v>
      </c>
      <c r="F94" s="5" t="s">
        <v>141</v>
      </c>
      <c r="G94" s="6" t="str" cm="1">
        <f t="array" ref="G94">IF(OR(BD_Versos[[#This Row],[Libro]]="",BD_Versos[[#This Row],[Capítulo]]="",BD_Versos[[#This Row],[Versículo]]=""),"",ExtraerPasaje(_xlfn.CONCAT(BD_Versos[[#This Row],[Libro]],BD_Versos[[#This Row],[Capítulo]],":",BD_Versos[[#This Row],[Versículo]])))</f>
        <v xml:space="preserve">_x000D_ _x000D_ 42 Cuando este se acercaba, el demonio lo derribó y lo hizo caer con convulsiones. Pero Jesús reprendió al espíritu inmundo, y sanó al muchacho y se lo devolvió a su padre. _x000D_ </v>
      </c>
      <c r="H94" s="4">
        <f t="shared" si="8"/>
        <v>94</v>
      </c>
      <c r="I94" s="4">
        <f t="shared" si="9"/>
        <v>92</v>
      </c>
      <c r="J94" s="4" t="s">
        <v>154</v>
      </c>
      <c r="K94" s="4">
        <v>3482</v>
      </c>
      <c r="L94" s="4">
        <v>0</v>
      </c>
    </row>
    <row r="95" spans="1:12" ht="60" x14ac:dyDescent="0.25">
      <c r="A95" s="2">
        <f>IF(BD_Versos[[#This Row],[Tema_Principal]]="","",ROW(BD_Versos[[#This Row],[Tema_Principal]])-1)</f>
        <v>94</v>
      </c>
      <c r="B95" s="3" t="s">
        <v>44</v>
      </c>
      <c r="C95" s="2" t="s">
        <v>133</v>
      </c>
      <c r="D95" s="4" t="s">
        <v>33</v>
      </c>
      <c r="E95" s="4">
        <v>13</v>
      </c>
      <c r="F95" s="5" t="s">
        <v>124</v>
      </c>
      <c r="G95" s="6" t="str" cm="1">
        <f t="array" ref="G95">IF(OR(BD_Versos[[#This Row],[Libro]]="",BD_Versos[[#This Row],[Capítulo]]="",BD_Versos[[#This Row],[Versículo]]=""),"",ExtraerPasaje(_xlfn.CONCAT(BD_Versos[[#This Row],[Libro]],BD_Versos[[#This Row],[Capítulo]],":",BD_Versos[[#This Row],[Versículo]])))</f>
        <v xml:space="preserve">_x000D_ _x000D_ 16 Y esta, que es hija de Abraham(A), a la que Satanás ha tenido atada durante dieciocho largos años(B), ¿no debía ser libertada de esta ligadura en día de reposo? _x000D_ </v>
      </c>
      <c r="H95" s="4">
        <f t="shared" si="8"/>
        <v>95</v>
      </c>
      <c r="I95" s="4">
        <f t="shared" si="9"/>
        <v>93</v>
      </c>
      <c r="J95" s="4" t="s">
        <v>148</v>
      </c>
      <c r="K95" s="4">
        <v>3482</v>
      </c>
      <c r="L95" s="4">
        <v>0</v>
      </c>
    </row>
    <row r="96" spans="1:12" ht="45" x14ac:dyDescent="0.25">
      <c r="A96" s="2">
        <f>IF(BD_Versos[[#This Row],[Tema_Principal]]="","",ROW(BD_Versos[[#This Row],[Tema_Principal]])-1)</f>
        <v>95</v>
      </c>
      <c r="B96" s="3" t="s">
        <v>44</v>
      </c>
      <c r="C96" s="2" t="s">
        <v>133</v>
      </c>
      <c r="D96" s="4" t="s">
        <v>33</v>
      </c>
      <c r="E96" s="4">
        <v>22</v>
      </c>
      <c r="F96" s="5" t="s">
        <v>38</v>
      </c>
      <c r="G96" s="6" t="str" cm="1">
        <f t="array" ref="G96">IF(OR(BD_Versos[[#This Row],[Libro]]="",BD_Versos[[#This Row],[Capítulo]]="",BD_Versos[[#This Row],[Versículo]]=""),"",ExtraerPasaje(_xlfn.CONCAT(BD_Versos[[#This Row],[Libro]],BD_Versos[[#This Row],[Capítulo]],":",BD_Versos[[#This Row],[Versículo]])))</f>
        <v xml:space="preserve">_x000D_ _x000D_ 3 (A)Entonces Satanás entró en Judas, llamado Iscariote(B), que pertenecía al[a] número de los doce; _x000D_ </v>
      </c>
      <c r="H96" s="4">
        <f t="shared" si="8"/>
        <v>96</v>
      </c>
      <c r="I96" s="4">
        <f t="shared" si="9"/>
        <v>94</v>
      </c>
      <c r="J96" s="4" t="s">
        <v>156</v>
      </c>
      <c r="K96" s="4">
        <v>3482</v>
      </c>
      <c r="L96" s="4">
        <v>0</v>
      </c>
    </row>
    <row r="97" spans="1:12" ht="45" x14ac:dyDescent="0.25">
      <c r="A97" s="2">
        <f>IF(BD_Versos[[#This Row],[Tema_Principal]]="","",ROW(BD_Versos[[#This Row],[Tema_Principal]])-1)</f>
        <v>96</v>
      </c>
      <c r="B97" s="3" t="s">
        <v>44</v>
      </c>
      <c r="C97" s="2" t="s">
        <v>133</v>
      </c>
      <c r="D97" s="4" t="s">
        <v>33</v>
      </c>
      <c r="E97" s="4">
        <v>22</v>
      </c>
      <c r="F97" s="5" t="s">
        <v>142</v>
      </c>
      <c r="G97" s="6" t="str" cm="1">
        <f t="array" ref="G97">IF(OR(BD_Versos[[#This Row],[Libro]]="",BD_Versos[[#This Row],[Capítulo]]="",BD_Versos[[#This Row],[Versículo]]=""),"",ExtraerPasaje(_xlfn.CONCAT(BD_Versos[[#This Row],[Libro]],BD_Versos[[#This Row],[Capítulo]],":",BD_Versos[[#This Row],[Versículo]])))</f>
        <v xml:space="preserve">_x000D_ _x000D_ Jesús predice la negación de Pedro_x000D_ _x000D_ 31 Simón, Simón, mira que Satanás os ha reclamado(A) para zarandearos(B) como a trigo; _x000D_ </v>
      </c>
      <c r="H97" s="4">
        <f t="shared" si="8"/>
        <v>97</v>
      </c>
      <c r="I97" s="4">
        <f t="shared" si="9"/>
        <v>95</v>
      </c>
      <c r="J97" s="4"/>
      <c r="K97" s="4">
        <v>3482</v>
      </c>
      <c r="L97" s="4">
        <v>0</v>
      </c>
    </row>
    <row r="98" spans="1:12" ht="90" x14ac:dyDescent="0.25">
      <c r="A98" s="2">
        <f>IF(BD_Versos[[#This Row],[Tema_Principal]]="","",ROW(BD_Versos[[#This Row],[Tema_Principal]])-1)</f>
        <v>97</v>
      </c>
      <c r="B98" s="3" t="s">
        <v>44</v>
      </c>
      <c r="C98" s="2" t="s">
        <v>133</v>
      </c>
      <c r="D98" s="4" t="s">
        <v>91</v>
      </c>
      <c r="E98" s="4">
        <v>8</v>
      </c>
      <c r="F98" s="5" t="s">
        <v>143</v>
      </c>
      <c r="G98" s="6" t="str" cm="1">
        <f t="array" ref="G98">IF(OR(BD_Versos[[#This Row],[Libro]]="",BD_Versos[[#This Row],[Capítulo]]="",BD_Versos[[#This Row],[Versículo]]=""),"",ExtraerPasaje(_xlfn.CONCAT(BD_Versos[[#This Row],[Libro]],BD_Versos[[#This Row],[Capítulo]],":",BD_Versos[[#This Row],[Versículo]])))</f>
        <v xml:space="preserve">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 </v>
      </c>
      <c r="H98" s="4">
        <f t="shared" si="8"/>
        <v>98</v>
      </c>
      <c r="I98" s="4">
        <f t="shared" si="9"/>
        <v>96</v>
      </c>
      <c r="J98" s="4" t="s">
        <v>155</v>
      </c>
      <c r="K98" s="4">
        <v>3482</v>
      </c>
      <c r="L98" s="4">
        <v>0</v>
      </c>
    </row>
    <row r="99" spans="1:12" ht="45" x14ac:dyDescent="0.25">
      <c r="A99" s="2">
        <f>IF(BD_Versos[[#This Row],[Tema_Principal]]="","",ROW(BD_Versos[[#This Row],[Tema_Principal]])-1)</f>
        <v>98</v>
      </c>
      <c r="B99" s="3" t="s">
        <v>44</v>
      </c>
      <c r="C99" s="2" t="s">
        <v>133</v>
      </c>
      <c r="D99" s="4" t="s">
        <v>91</v>
      </c>
      <c r="E99" s="4">
        <v>13</v>
      </c>
      <c r="F99" s="5" t="s">
        <v>49</v>
      </c>
      <c r="G99" s="6" t="str" cm="1">
        <f t="array" ref="G99">IF(OR(BD_Versos[[#This Row],[Libro]]="",BD_Versos[[#This Row],[Capítulo]]="",BD_Versos[[#This Row],[Versículo]]=""),"",ExtraerPasaje(_xlfn.CONCAT(BD_Versos[[#This Row],[Libro]],BD_Versos[[#This Row],[Capítulo]],":",BD_Versos[[#This Row],[Versículo]])))</f>
        <v xml:space="preserve">_x000D_ _x000D_ 2 Y durante la cena, como ya el diablo(A) había puesto en el corazón de Judas Iscariote, hijo de Simón, el que lo entregara(B), _x000D_ </v>
      </c>
      <c r="H99" s="4">
        <f t="shared" si="8"/>
        <v>99</v>
      </c>
      <c r="I99" s="4">
        <f t="shared" si="9"/>
        <v>97</v>
      </c>
      <c r="J99" s="4" t="s">
        <v>156</v>
      </c>
      <c r="K99" s="4">
        <v>3482</v>
      </c>
      <c r="L99" s="4">
        <v>0</v>
      </c>
    </row>
    <row r="100" spans="1:12" ht="45" x14ac:dyDescent="0.25">
      <c r="A100" s="2">
        <f>IF(BD_Versos[[#This Row],[Tema_Principal]]="","",ROW(BD_Versos[[#This Row],[Tema_Principal]])-1)</f>
        <v>99</v>
      </c>
      <c r="B100" s="3" t="s">
        <v>44</v>
      </c>
      <c r="C100" s="2" t="s">
        <v>133</v>
      </c>
      <c r="D100" s="4" t="s">
        <v>91</v>
      </c>
      <c r="E100" s="4">
        <v>13</v>
      </c>
      <c r="F100" s="5" t="s">
        <v>112</v>
      </c>
      <c r="G100" s="6" t="str" cm="1">
        <f t="array" ref="G100">IF(OR(BD_Versos[[#This Row],[Libro]]="",BD_Versos[[#This Row],[Capítulo]]="",BD_Versos[[#This Row],[Versículo]]=""),"",ExtraerPasaje(_xlfn.CONCAT(BD_Versos[[#This Row],[Libro]],BD_Versos[[#This Row],[Capítulo]],":",BD_Versos[[#This Row],[Versículo]])))</f>
        <v xml:space="preserve">_x000D_ _x000D_ 27 Y después del bocado, Satanás(A) entró en él(B). Entonces Jesús le dijo*: Lo que vas a hacer, hazlo pronto. _x000D_ </v>
      </c>
      <c r="H100" s="4">
        <f t="shared" si="8"/>
        <v>100</v>
      </c>
      <c r="I100" s="4">
        <f t="shared" si="9"/>
        <v>98</v>
      </c>
      <c r="J100" s="4" t="s">
        <v>156</v>
      </c>
      <c r="K100" s="4">
        <v>3482</v>
      </c>
      <c r="L100" s="4">
        <v>0</v>
      </c>
    </row>
    <row r="101" spans="1:12" ht="60" x14ac:dyDescent="0.25">
      <c r="A101" s="2">
        <f>IF(BD_Versos[[#This Row],[Tema_Principal]]="","",ROW(BD_Versos[[#This Row],[Tema_Principal]])-1)</f>
        <v>100</v>
      </c>
      <c r="B101" s="3" t="s">
        <v>44</v>
      </c>
      <c r="C101" s="2" t="s">
        <v>133</v>
      </c>
      <c r="D101" s="4" t="s">
        <v>13</v>
      </c>
      <c r="E101" s="4">
        <v>5</v>
      </c>
      <c r="F101" s="5" t="s">
        <v>38</v>
      </c>
      <c r="G101" s="6" t="str" cm="1">
        <f t="array" ref="G101">IF(OR(BD_Versos[[#This Row],[Libro]]="",BD_Versos[[#This Row],[Capítulo]]="",BD_Versos[[#This Row],[Versículo]]=""),"",ExtraerPasaje(_xlfn.CONCAT(BD_Versos[[#This Row],[Libro]],BD_Versos[[#This Row],[Capítulo]],":",BD_Versos[[#This Row],[Versículo]])))</f>
        <v xml:space="preserve">_x000D_ _x000D_ 3 Mas Pedro dijo: Ananías, ¿por qué ha llenado Satanás(A) tu corazón para mentir al Espíritu Santo(B), y quedarte con parte del precio(C) del terreno? _x000D_ </v>
      </c>
      <c r="H101" s="4">
        <f t="shared" si="8"/>
        <v>101</v>
      </c>
      <c r="I101" s="4">
        <f t="shared" si="9"/>
        <v>99</v>
      </c>
      <c r="J101" s="4" t="s">
        <v>156</v>
      </c>
      <c r="K101" s="4">
        <v>3482</v>
      </c>
      <c r="L101" s="4">
        <v>0</v>
      </c>
    </row>
    <row r="102" spans="1:12" ht="30" x14ac:dyDescent="0.25">
      <c r="A102" s="2">
        <f>IF(BD_Versos[[#This Row],[Tema_Principal]]="","",ROW(BD_Versos[[#This Row],[Tema_Principal]])-1)</f>
        <v>101</v>
      </c>
      <c r="B102" s="3" t="s">
        <v>44</v>
      </c>
      <c r="C102" s="2" t="s">
        <v>133</v>
      </c>
      <c r="D102" s="4" t="s">
        <v>36</v>
      </c>
      <c r="E102" s="4">
        <v>2</v>
      </c>
      <c r="F102" s="5" t="s">
        <v>37</v>
      </c>
      <c r="G102" s="6" t="str" cm="1">
        <f t="array" ref="G102">IF(OR(BD_Versos[[#This Row],[Libro]]="",BD_Versos[[#This Row],[Capítulo]]="",BD_Versos[[#This Row],[Versículo]]=""),"",ExtraerPasaje(_xlfn.CONCAT(BD_Versos[[#This Row],[Libro]],BD_Versos[[#This Row],[Capítulo]],":",BD_Versos[[#This Row],[Versículo]])))</f>
        <v xml:space="preserve">_x000D_ _x000D_ 11 para que Satanás(A) no tome ventaja sobre nosotros, pues no ignoramos sus ardides(B)._x000D_ </v>
      </c>
      <c r="H102" s="4">
        <f t="shared" si="8"/>
        <v>102</v>
      </c>
      <c r="I102" s="4">
        <f t="shared" si="9"/>
        <v>100</v>
      </c>
      <c r="J102" s="4" t="s">
        <v>156</v>
      </c>
      <c r="K102" s="4">
        <v>3482</v>
      </c>
      <c r="L102" s="4">
        <v>0</v>
      </c>
    </row>
    <row r="103" spans="1:12" ht="60" x14ac:dyDescent="0.25">
      <c r="A103" s="2">
        <f>IF(BD_Versos[[#This Row],[Tema_Principal]]="","",ROW(BD_Versos[[#This Row],[Tema_Principal]])-1)</f>
        <v>102</v>
      </c>
      <c r="B103" s="3" t="s">
        <v>44</v>
      </c>
      <c r="C103" s="2" t="s">
        <v>133</v>
      </c>
      <c r="D103" s="4" t="s">
        <v>36</v>
      </c>
      <c r="E103" s="4">
        <v>11</v>
      </c>
      <c r="F103" s="5" t="s">
        <v>38</v>
      </c>
      <c r="G103" s="6" t="str" cm="1">
        <f t="array" ref="G103">IF(OR(BD_Versos[[#This Row],[Libro]]="",BD_Versos[[#This Row],[Capítulo]]="",BD_Versos[[#This Row],[Versículo]]=""),"",ExtraerPasaje(_xlfn.CONCAT(BD_Versos[[#This Row],[Libro]],BD_Versos[[#This Row],[Capítulo]],":",BD_Versos[[#This Row],[Versículo]])))</f>
        <v xml:space="preserve">_x000D_ _x000D_ 3 Pero temo que, así como la serpiente con su astucia engañó a Eva(A), vuestras mentes sean desviadas[a] de la sencillez y pureza de la devoción a Cristo. _x000D_ </v>
      </c>
      <c r="H103" s="4">
        <f t="shared" si="8"/>
        <v>103</v>
      </c>
      <c r="I103" s="4">
        <f t="shared" si="9"/>
        <v>101</v>
      </c>
      <c r="J103" s="4" t="s">
        <v>156</v>
      </c>
      <c r="K103" s="4">
        <v>3482</v>
      </c>
      <c r="L103" s="4">
        <v>0</v>
      </c>
    </row>
    <row r="104" spans="1:12" ht="75" x14ac:dyDescent="0.25">
      <c r="A104" s="2">
        <f>IF(BD_Versos[[#This Row],[Tema_Principal]]="","",ROW(BD_Versos[[#This Row],[Tema_Principal]])-1)</f>
        <v>103</v>
      </c>
      <c r="B104" s="3" t="s">
        <v>44</v>
      </c>
      <c r="C104" s="2" t="s">
        <v>133</v>
      </c>
      <c r="D104" s="4" t="s">
        <v>36</v>
      </c>
      <c r="E104" s="4">
        <v>12</v>
      </c>
      <c r="F104" s="5" t="s">
        <v>43</v>
      </c>
      <c r="G104" s="6" t="str" cm="1">
        <f t="array" ref="G104">IF(OR(BD_Versos[[#This Row],[Libro]]="",BD_Versos[[#This Row],[Capítulo]]="",BD_Versos[[#This Row],[Versículo]]=""),"",ExtraerPasaje(_xlfn.CONCAT(BD_Versos[[#This Row],[Libro]],BD_Versos[[#This Row],[Capítulo]],":",BD_Versos[[#This Row],[Versículo]])))</f>
        <v xml:space="preserve">_x000D_ _x000D_ 7 Y dada la extraordinaria grandeza de las revelaciones(A), por esta razón, para impedir que me enalteciera, me fue dada una espina en la carne(B), un mensajero de Satanás(C) que me abofetee, para que no me enaltezca. _x000D_ </v>
      </c>
      <c r="H104" s="4">
        <f t="shared" si="8"/>
        <v>104</v>
      </c>
      <c r="I104" s="4">
        <f t="shared" si="9"/>
        <v>102</v>
      </c>
      <c r="J104" s="4"/>
      <c r="K104" s="4">
        <v>3482</v>
      </c>
      <c r="L104" s="4">
        <v>0</v>
      </c>
    </row>
    <row r="105" spans="1:12" ht="60" x14ac:dyDescent="0.25">
      <c r="A105" s="2">
        <f>IF(BD_Versos[[#This Row],[Tema_Principal]]="","",ROW(BD_Versos[[#This Row],[Tema_Principal]])-1)</f>
        <v>104</v>
      </c>
      <c r="B105" s="3" t="s">
        <v>44</v>
      </c>
      <c r="C105" s="2" t="s">
        <v>133</v>
      </c>
      <c r="D105" s="4" t="s">
        <v>39</v>
      </c>
      <c r="E105" s="4">
        <v>2</v>
      </c>
      <c r="F105" s="5" t="s">
        <v>49</v>
      </c>
      <c r="G105" s="6" t="str" cm="1">
        <f t="array" ref="G105">IF(OR(BD_Versos[[#This Row],[Libro]]="",BD_Versos[[#This Row],[Capítulo]]="",BD_Versos[[#This Row],[Versículo]]=""),"",ExtraerPasaje(_xlfn.CONCAT(BD_Versos[[#This Row],[Libro]],BD_Versos[[#This Row],[Capítulo]],":",BD_Versos[[#This Row],[Versículo]])))</f>
        <v xml:space="preserve">_x000D_ _x000D_ 2 en los cuales anduvisteis en otro tiempo(A) según la corriente[a] de este mundo(B), conforme al príncipe de la potestad del aire(C), el espíritu que ahora opera en los hijos de desobediencia(D), _x000D_ </v>
      </c>
      <c r="H105" s="4">
        <f t="shared" si="8"/>
        <v>105</v>
      </c>
      <c r="I105" s="4">
        <f t="shared" si="9"/>
        <v>103</v>
      </c>
      <c r="J105" s="4" t="s">
        <v>156</v>
      </c>
      <c r="K105" s="4">
        <v>3482</v>
      </c>
      <c r="L105" s="4">
        <v>0</v>
      </c>
    </row>
    <row r="106" spans="1:12" ht="45" x14ac:dyDescent="0.25">
      <c r="A106" s="2">
        <f>IF(BD_Versos[[#This Row],[Tema_Principal]]="","",ROW(BD_Versos[[#This Row],[Tema_Principal]])-1)</f>
        <v>105</v>
      </c>
      <c r="B106" s="3" t="s">
        <v>44</v>
      </c>
      <c r="C106" s="2" t="s">
        <v>133</v>
      </c>
      <c r="D106" s="4" t="s">
        <v>95</v>
      </c>
      <c r="E106" s="4">
        <v>2</v>
      </c>
      <c r="F106" s="5" t="s">
        <v>108</v>
      </c>
      <c r="G106" s="6" t="str" cm="1">
        <f t="array" ref="G106">IF(OR(BD_Versos[[#This Row],[Libro]]="",BD_Versos[[#This Row],[Capítulo]]="",BD_Versos[[#This Row],[Versículo]]=""),"",ExtraerPasaje(_xlfn.CONCAT(BD_Versos[[#This Row],[Libro]],BD_Versos[[#This Row],[Capítulo]],":",BD_Versos[[#This Row],[Versículo]])))</f>
        <v xml:space="preserve">_x000D_ _x000D_ 18 Ya que queríamos ir a vosotros(A) (al menos yo, Pablo, más de una vez[a](B)) pero Satanás(C) nos lo ha impedido(D). _x000D_ </v>
      </c>
      <c r="H106" s="4">
        <f t="shared" si="8"/>
        <v>106</v>
      </c>
      <c r="I106" s="4">
        <f t="shared" si="9"/>
        <v>104</v>
      </c>
      <c r="J106" s="4" t="s">
        <v>289</v>
      </c>
      <c r="K106" s="4">
        <v>3482</v>
      </c>
      <c r="L106" s="4">
        <v>0</v>
      </c>
    </row>
    <row r="107" spans="1:12" ht="45" x14ac:dyDescent="0.25">
      <c r="A107" s="2">
        <f>IF(BD_Versos[[#This Row],[Tema_Principal]]="","",ROW(BD_Versos[[#This Row],[Tema_Principal]])-1)</f>
        <v>106</v>
      </c>
      <c r="B107" s="3" t="s">
        <v>44</v>
      </c>
      <c r="C107" s="2" t="s">
        <v>133</v>
      </c>
      <c r="D107" s="4" t="s">
        <v>23</v>
      </c>
      <c r="E107" s="4">
        <v>2</v>
      </c>
      <c r="F107" s="5" t="s">
        <v>51</v>
      </c>
      <c r="G107" s="6" t="str" cm="1">
        <f t="array" ref="G107">IF(OR(BD_Versos[[#This Row],[Libro]]="",BD_Versos[[#This Row],[Capítulo]]="",BD_Versos[[#This Row],[Versículo]]=""),"",ExtraerPasaje(_xlfn.CONCAT(BD_Versos[[#This Row],[Libro]],BD_Versos[[#This Row],[Capítulo]],":",BD_Versos[[#This Row],[Versículo]])))</f>
        <v xml:space="preserve">_x000D_ _x000D_ 26 y volviendo en sí, escapen del lazo del diablo(A), habiendo estado cautivos de él(B) para hacer su voluntad._x000D_ </v>
      </c>
      <c r="H107" s="4">
        <f t="shared" si="8"/>
        <v>107</v>
      </c>
      <c r="I107" s="4">
        <f t="shared" si="9"/>
        <v>105</v>
      </c>
      <c r="J107" s="4" t="s">
        <v>289</v>
      </c>
      <c r="K107" s="4">
        <v>3482</v>
      </c>
      <c r="L107" s="4">
        <v>0</v>
      </c>
    </row>
    <row r="108" spans="1:12" ht="45" x14ac:dyDescent="0.25">
      <c r="A108" s="2">
        <f>IF(BD_Versos[[#This Row],[Tema_Principal]]="","",ROW(BD_Versos[[#This Row],[Tema_Principal]])-1)</f>
        <v>107</v>
      </c>
      <c r="B108" s="3" t="s">
        <v>44</v>
      </c>
      <c r="C108" s="2" t="s">
        <v>133</v>
      </c>
      <c r="D108" s="4" t="s">
        <v>100</v>
      </c>
      <c r="E108" s="4">
        <v>5</v>
      </c>
      <c r="F108" s="5" t="s">
        <v>118</v>
      </c>
      <c r="G108" s="6" t="str" cm="1">
        <f t="array" ref="G108">IF(OR(BD_Versos[[#This Row],[Libro]]="",BD_Versos[[#This Row],[Capítulo]]="",BD_Versos[[#This Row],[Versículo]]=""),"",ExtraerPasaje(_xlfn.CONCAT(BD_Versos[[#This Row],[Libro]],BD_Versos[[#This Row],[Capítulo]],":",BD_Versos[[#This Row],[Versículo]])))</f>
        <v xml:space="preserve">_x000D_ _x000D_ 8 Sed de espíritu sobrio(A), estad alerta(B). Vuestro adversario, el diablo(C), anda al acecho como león rugiente(D), buscando a quien devorar. _x000D_ </v>
      </c>
      <c r="H108" s="4">
        <f t="shared" si="8"/>
        <v>108</v>
      </c>
      <c r="I108" s="4">
        <f t="shared" si="9"/>
        <v>106</v>
      </c>
      <c r="J108" s="4" t="s">
        <v>157</v>
      </c>
      <c r="K108" s="4">
        <v>3482</v>
      </c>
      <c r="L108" s="4">
        <v>0</v>
      </c>
    </row>
    <row r="109" spans="1:12" ht="75" x14ac:dyDescent="0.25">
      <c r="A109" s="2">
        <f>IF(BD_Versos[[#This Row],[Tema_Principal]]="","",ROW(BD_Versos[[#This Row],[Tema_Principal]])-1)</f>
        <v>108</v>
      </c>
      <c r="B109" s="3" t="s">
        <v>44</v>
      </c>
      <c r="C109" s="2" t="s">
        <v>133</v>
      </c>
      <c r="D109" s="4" t="s">
        <v>42</v>
      </c>
      <c r="E109" s="4">
        <v>2</v>
      </c>
      <c r="F109" s="5" t="s">
        <v>119</v>
      </c>
      <c r="G109" s="6" t="str" cm="1">
        <f t="array" ref="G109">IF(OR(BD_Versos[[#This Row],[Libro]]="",BD_Versos[[#This Row],[Capítulo]]="",BD_Versos[[#This Row],[Versículo]]=""),"",ExtraerPasaje(_xlfn.CONCAT(BD_Versos[[#This Row],[Libro]],BD_Versos[[#This Row],[Capítulo]],":",BD_Versos[[#This Row],[Versículo]])))</f>
        <v xml:space="preserve">_x000D_ _x000D_ 10 No temas lo que estás por sufrir. He aquí, el diablo echará a algunos de vosotros en la cárcel para que seáis probados(A), y tendréis tribulación por diez días(B). Sé fiel hasta la muerte(C), y yo te daré la corona de la vida(D). _x000D_ </v>
      </c>
      <c r="H109" s="4">
        <f t="shared" si="8"/>
        <v>109</v>
      </c>
      <c r="I109" s="4">
        <f t="shared" si="9"/>
        <v>107</v>
      </c>
      <c r="J109" s="4"/>
      <c r="K109" s="4">
        <v>3482</v>
      </c>
      <c r="L109" s="4">
        <v>0</v>
      </c>
    </row>
    <row r="110" spans="1:12" ht="90" x14ac:dyDescent="0.25">
      <c r="A110" s="2">
        <f>IF(BD_Versos[[#This Row],[Tema_Principal]]="","",ROW(BD_Versos[[#This Row],[Tema_Principal]])-1)</f>
        <v>109</v>
      </c>
      <c r="B110" s="3" t="s">
        <v>44</v>
      </c>
      <c r="C110" s="2" t="s">
        <v>133</v>
      </c>
      <c r="D110" s="4" t="s">
        <v>42</v>
      </c>
      <c r="E110" s="4">
        <v>12</v>
      </c>
      <c r="F110" s="5" t="s">
        <v>119</v>
      </c>
      <c r="G110" s="6" t="str" cm="1">
        <f t="array" ref="G110">IF(OR(BD_Versos[[#This Row],[Libro]]="",BD_Versos[[#This Row],[Capítulo]]="",BD_Versos[[#This Row],[Versículo]]=""),"",ExtraerPasaje(_xlfn.CONCAT(BD_Versos[[#This Row],[Libro]],BD_Versos[[#This Row],[Capítulo]],":",BD_Versos[[#This Row],[Versículo]])))</f>
        <v xml:space="preserve">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 </v>
      </c>
      <c r="H110" s="4">
        <f t="shared" si="8"/>
        <v>110</v>
      </c>
      <c r="I110" s="4">
        <f t="shared" si="9"/>
        <v>108</v>
      </c>
      <c r="J110" s="4"/>
      <c r="K110" s="4">
        <v>3482</v>
      </c>
      <c r="L110" s="4">
        <v>0</v>
      </c>
    </row>
    <row r="111" spans="1:12" ht="75" x14ac:dyDescent="0.25">
      <c r="A111" s="2">
        <f>IF(BD_Versos[[#This Row],[Tema_Principal]]="","",ROW(BD_Versos[[#This Row],[Tema_Principal]])-1)</f>
        <v>110</v>
      </c>
      <c r="B111" s="3" t="s">
        <v>44</v>
      </c>
      <c r="C111" s="2" t="s">
        <v>133</v>
      </c>
      <c r="D111" s="4" t="s">
        <v>42</v>
      </c>
      <c r="E111" s="4">
        <v>12</v>
      </c>
      <c r="F111" s="5" t="s">
        <v>110</v>
      </c>
      <c r="G111" s="6" t="str" cm="1">
        <f t="array" ref="G111">IF(OR(BD_Versos[[#This Row],[Libro]]="",BD_Versos[[#This Row],[Capítulo]]="",BD_Versos[[#This Row],[Versículo]]=""),"",ExtraerPasaje(_xlfn.CONCAT(BD_Versos[[#This Row],[Libro]],BD_Versos[[#This Row],[Capítulo]],":",BD_Versos[[#This Row],[Versículo]])))</f>
        <v xml:space="preserve">_x000D_ _x000D_ 12 Por lo cual regocijaos, cielos(A) y los que moráis en ellos(B). ¡Ay de la tierra y del mar(C)!, porque el diablo ha descendido a vosotros(D) con[a] gran furor, sabiendo que tiene poco tiempo(E)._x000D_ </v>
      </c>
      <c r="I111" s="4">
        <f t="shared" si="9"/>
        <v>109</v>
      </c>
      <c r="J111" s="4"/>
      <c r="K111" s="4">
        <v>3482</v>
      </c>
      <c r="L111" s="4">
        <v>0</v>
      </c>
    </row>
    <row r="112" spans="1:12" ht="75" x14ac:dyDescent="0.25">
      <c r="A112" s="2">
        <f>IF(BD_Versos[[#This Row],[Tema_Principal]]="","",ROW(BD_Versos[[#This Row],[Tema_Principal]])-1)</f>
        <v>111</v>
      </c>
      <c r="B112" s="3" t="s">
        <v>44</v>
      </c>
      <c r="C112" s="2" t="s">
        <v>158</v>
      </c>
      <c r="D112" s="4" t="s">
        <v>46</v>
      </c>
      <c r="E112" s="4">
        <v>3</v>
      </c>
      <c r="F112" s="5" t="s">
        <v>47</v>
      </c>
      <c r="G112" s="6" t="str" cm="1">
        <f t="array" ref="G112">IF(OR(BD_Versos[[#This Row],[Libro]]="",BD_Versos[[#This Row],[Capítulo]]="",BD_Versos[[#This Row],[Versículo]]=""),"",ExtraerPasaje(_xlfn.CONCAT(BD_Versos[[#This Row],[Libro]],BD_Versos[[#This Row],[Capítulo]],":",BD_Versos[[#This Row],[Versículo]])))</f>
        <v xml:space="preserve">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 </v>
      </c>
      <c r="H112" s="4">
        <f t="shared" si="8"/>
        <v>112</v>
      </c>
      <c r="J112" s="4"/>
      <c r="K112" s="4">
        <v>3483</v>
      </c>
      <c r="L112" s="4">
        <v>0</v>
      </c>
    </row>
    <row r="113" spans="1:12" ht="60" x14ac:dyDescent="0.25">
      <c r="A113" s="2">
        <f>IF(BD_Versos[[#This Row],[Tema_Principal]]="","",ROW(BD_Versos[[#This Row],[Tema_Principal]])-1)</f>
        <v>112</v>
      </c>
      <c r="B113" s="3" t="s">
        <v>44</v>
      </c>
      <c r="C113" s="2" t="s">
        <v>158</v>
      </c>
      <c r="D113" s="4" t="s">
        <v>135</v>
      </c>
      <c r="E113" s="4">
        <v>3</v>
      </c>
      <c r="F113" s="5" t="s">
        <v>49</v>
      </c>
      <c r="G113" s="6" t="str" cm="1">
        <f t="array" ref="G113">IF(OR(BD_Versos[[#This Row],[Libro]]="",BD_Versos[[#This Row],[Capítulo]]="",BD_Versos[[#This Row],[Versículo]]=""),"",ExtraerPasaje(_xlfn.CONCAT(BD_Versos[[#This Row],[Libro]],BD_Versos[[#This Row],[Capítulo]],":",BD_Versos[[#This Row],[Versículo]])))</f>
        <v xml:space="preserve">_x000D_ _x000D_ 2 Y el ángel del Señor[a] dijo a Satanás: El Señor te reprenda, Satanás(A). Repréndate el Señor que ha escogido a Jerusalén(B). ¿No es este un tizón arrebatado del fuego(C)? _x000D_ </v>
      </c>
      <c r="H113" s="4">
        <f t="shared" si="8"/>
        <v>113</v>
      </c>
      <c r="I113" s="4">
        <f>A112</f>
        <v>111</v>
      </c>
      <c r="J113" s="4"/>
      <c r="K113" s="4">
        <v>3483</v>
      </c>
      <c r="L113" s="4">
        <v>0</v>
      </c>
    </row>
    <row r="114" spans="1:12" ht="30" x14ac:dyDescent="0.25">
      <c r="A114" s="2">
        <f>IF(BD_Versos[[#This Row],[Tema_Principal]]="","",ROW(BD_Versos[[#This Row],[Tema_Principal]])-1)</f>
        <v>113</v>
      </c>
      <c r="B114" s="3" t="s">
        <v>44</v>
      </c>
      <c r="C114" s="2" t="s">
        <v>158</v>
      </c>
      <c r="D114" s="4" t="s">
        <v>50</v>
      </c>
      <c r="E114" s="4">
        <v>8</v>
      </c>
      <c r="F114" s="5" t="s">
        <v>142</v>
      </c>
      <c r="G114" s="6" t="str" cm="1">
        <f t="array" ref="G114">IF(OR(BD_Versos[[#This Row],[Libro]]="",BD_Versos[[#This Row],[Capítulo]]="",BD_Versos[[#This Row],[Versículo]]=""),"",ExtraerPasaje(_xlfn.CONCAT(BD_Versos[[#This Row],[Libro]],BD_Versos[[#This Row],[Capítulo]],":",BD_Versos[[#This Row],[Versículo]])))</f>
        <v xml:space="preserve">_x000D_ _x000D_ 31 y los demonios le rogaban, diciendo: Si vas a echarnos fuera, mándanos a la piara de cerdos. _x000D_ </v>
      </c>
      <c r="H114" s="4">
        <f t="shared" si="8"/>
        <v>114</v>
      </c>
      <c r="I114" s="4">
        <f t="shared" si="9"/>
        <v>112</v>
      </c>
      <c r="J114" s="4"/>
      <c r="K114" s="4">
        <v>3483</v>
      </c>
      <c r="L114" s="4">
        <v>0</v>
      </c>
    </row>
    <row r="115" spans="1:12" ht="45" x14ac:dyDescent="0.25">
      <c r="A115" s="2">
        <f>IF(BD_Versos[[#This Row],[Tema_Principal]]="","",ROW(BD_Versos[[#This Row],[Tema_Principal]])-1)</f>
        <v>114</v>
      </c>
      <c r="B115" s="3" t="s">
        <v>44</v>
      </c>
      <c r="C115" s="2" t="s">
        <v>158</v>
      </c>
      <c r="D115" s="4" t="s">
        <v>50</v>
      </c>
      <c r="E115" s="4">
        <v>12</v>
      </c>
      <c r="F115" s="5" t="s">
        <v>111</v>
      </c>
      <c r="G115" s="6" t="str" cm="1">
        <f t="array" ref="G115">IF(OR(BD_Versos[[#This Row],[Libro]]="",BD_Versos[[#This Row],[Capítulo]]="",BD_Versos[[#This Row],[Versículo]]=""),"",ExtraerPasaje(_xlfn.CONCAT(BD_Versos[[#This Row],[Libro]],BD_Versos[[#This Row],[Capítulo]],":",BD_Versos[[#This Row],[Versículo]])))</f>
        <v xml:space="preserve">_x000D_ _x000D_ 29 ¿O cómo puede alguien entrar en la casa de un hombre fuerte y saquear sus bienes, si primero no lo ata[a]? Y entonces saqueará su casa. _x000D_ </v>
      </c>
      <c r="H115" s="4">
        <f t="shared" si="8"/>
        <v>115</v>
      </c>
      <c r="I115" s="4">
        <f t="shared" si="9"/>
        <v>113</v>
      </c>
      <c r="J115" s="4"/>
      <c r="K115" s="4">
        <v>3483</v>
      </c>
      <c r="L115" s="4">
        <v>0</v>
      </c>
    </row>
    <row r="116" spans="1:12" ht="45" x14ac:dyDescent="0.25">
      <c r="A116" s="2">
        <f>IF(BD_Versos[[#This Row],[Tema_Principal]]="","",ROW(BD_Versos[[#This Row],[Tema_Principal]])-1)</f>
        <v>115</v>
      </c>
      <c r="B116" s="3" t="s">
        <v>44</v>
      </c>
      <c r="C116" s="2" t="s">
        <v>158</v>
      </c>
      <c r="D116" s="4" t="s">
        <v>30</v>
      </c>
      <c r="E116" s="4">
        <v>3</v>
      </c>
      <c r="F116" s="5" t="s">
        <v>37</v>
      </c>
      <c r="G116" s="6" t="str" cm="1">
        <f t="array" ref="G116">IF(OR(BD_Versos[[#This Row],[Libro]]="",BD_Versos[[#This Row],[Capítulo]]="",BD_Versos[[#This Row],[Versículo]]=""),"",ExtraerPasaje(_xlfn.CONCAT(BD_Versos[[#This Row],[Libro]],BD_Versos[[#This Row],[Capítulo]],":",BD_Versos[[#This Row],[Versículo]])))</f>
        <v xml:space="preserve">_x000D_ _x000D_ 11 Y siempre que los espíritus inmundos le veían, caían delante de Él y gritaban, diciendo: Tú eres el Hijo de Dios(A). _x000D_ </v>
      </c>
      <c r="H116" s="4">
        <f t="shared" si="8"/>
        <v>116</v>
      </c>
      <c r="I116" s="4">
        <f t="shared" si="9"/>
        <v>114</v>
      </c>
      <c r="J116" s="4"/>
      <c r="K116" s="4">
        <v>3483</v>
      </c>
      <c r="L116" s="4">
        <v>0</v>
      </c>
    </row>
    <row r="117" spans="1:12" ht="30" x14ac:dyDescent="0.25">
      <c r="A117" s="2">
        <f>IF(BD_Versos[[#This Row],[Tema_Principal]]="","",ROW(BD_Versos[[#This Row],[Tema_Principal]])-1)</f>
        <v>116</v>
      </c>
      <c r="B117" s="3" t="s">
        <v>44</v>
      </c>
      <c r="C117" s="2" t="s">
        <v>158</v>
      </c>
      <c r="D117" s="4" t="s">
        <v>30</v>
      </c>
      <c r="E117" s="4">
        <v>5</v>
      </c>
      <c r="F117" s="5" t="s">
        <v>119</v>
      </c>
      <c r="G117" s="6" t="str" cm="1">
        <f t="array" ref="G117">IF(OR(BD_Versos[[#This Row],[Libro]]="",BD_Versos[[#This Row],[Capítulo]]="",BD_Versos[[#This Row],[Versículo]]=""),"",ExtraerPasaje(_xlfn.CONCAT(BD_Versos[[#This Row],[Libro]],BD_Versos[[#This Row],[Capítulo]],":",BD_Versos[[#This Row],[Versículo]])))</f>
        <v xml:space="preserve">_x000D_ _x000D_ 10 Entonces le rogaba con insistencia que no los enviara fuera de la tierra. _x000D_ </v>
      </c>
      <c r="H117" s="4">
        <f t="shared" si="8"/>
        <v>117</v>
      </c>
      <c r="I117" s="4">
        <f t="shared" si="9"/>
        <v>115</v>
      </c>
      <c r="J117" s="4"/>
      <c r="K117" s="4">
        <v>3483</v>
      </c>
      <c r="L117" s="4">
        <v>0</v>
      </c>
    </row>
    <row r="118" spans="1:12" ht="30" x14ac:dyDescent="0.25">
      <c r="A118" s="2">
        <f>IF(BD_Versos[[#This Row],[Tema_Principal]]="","",ROW(BD_Versos[[#This Row],[Tema_Principal]])-1)</f>
        <v>117</v>
      </c>
      <c r="B118" s="3" t="s">
        <v>44</v>
      </c>
      <c r="C118" s="2" t="s">
        <v>158</v>
      </c>
      <c r="D118" s="4" t="s">
        <v>33</v>
      </c>
      <c r="E118" s="4">
        <v>8</v>
      </c>
      <c r="F118" s="5" t="s">
        <v>142</v>
      </c>
      <c r="G118" s="6" t="str" cm="1">
        <f t="array" ref="G118">IF(OR(BD_Versos[[#This Row],[Libro]]="",BD_Versos[[#This Row],[Capítulo]]="",BD_Versos[[#This Row],[Versículo]]=""),"",ExtraerPasaje(_xlfn.CONCAT(BD_Versos[[#This Row],[Libro]],BD_Versos[[#This Row],[Capítulo]],":",BD_Versos[[#This Row],[Versículo]])))</f>
        <v xml:space="preserve">_x000D_ _x000D_ 31 Y le rogaban que no les ordenara irse al abismo(A). _x000D_ </v>
      </c>
      <c r="H118" s="4">
        <f t="shared" si="8"/>
        <v>118</v>
      </c>
      <c r="I118" s="4">
        <f t="shared" si="9"/>
        <v>116</v>
      </c>
      <c r="J118" s="4"/>
      <c r="K118" s="4">
        <v>3483</v>
      </c>
      <c r="L118" s="4">
        <v>0</v>
      </c>
    </row>
    <row r="119" spans="1:12" ht="30" x14ac:dyDescent="0.25">
      <c r="A119" s="2">
        <f>IF(BD_Versos[[#This Row],[Tema_Principal]]="","",ROW(BD_Versos[[#This Row],[Tema_Principal]])-1)</f>
        <v>118</v>
      </c>
      <c r="B119" s="3" t="s">
        <v>44</v>
      </c>
      <c r="C119" s="2" t="s">
        <v>158</v>
      </c>
      <c r="D119" s="4" t="s">
        <v>33</v>
      </c>
      <c r="E119" s="4">
        <v>10</v>
      </c>
      <c r="F119" s="5" t="s">
        <v>108</v>
      </c>
      <c r="G119" s="6" t="str" cm="1">
        <f t="array" ref="G119">IF(OR(BD_Versos[[#This Row],[Libro]]="",BD_Versos[[#This Row],[Capítulo]]="",BD_Versos[[#This Row],[Versículo]]=""),"",ExtraerPasaje(_xlfn.CONCAT(BD_Versos[[#This Row],[Libro]],BD_Versos[[#This Row],[Capítulo]],":",BD_Versos[[#This Row],[Versículo]])))</f>
        <v xml:space="preserve">_x000D_ _x000D_ 18 Y Él les dijo: Yo veía a Satanás(A) caer del cielo como un rayo. _x000D_ </v>
      </c>
      <c r="H119" s="4">
        <f t="shared" si="8"/>
        <v>119</v>
      </c>
      <c r="I119" s="4">
        <f t="shared" si="9"/>
        <v>117</v>
      </c>
      <c r="J119" s="4"/>
      <c r="K119" s="4">
        <v>3483</v>
      </c>
      <c r="L119" s="4">
        <v>0</v>
      </c>
    </row>
    <row r="120" spans="1:12" ht="60" x14ac:dyDescent="0.25">
      <c r="A120" s="2">
        <f>IF(BD_Versos[[#This Row],[Tema_Principal]]="","",ROW(BD_Versos[[#This Row],[Tema_Principal]])-1)</f>
        <v>119</v>
      </c>
      <c r="B120" s="3" t="s">
        <v>44</v>
      </c>
      <c r="C120" s="2" t="s">
        <v>158</v>
      </c>
      <c r="D120" s="4" t="s">
        <v>42</v>
      </c>
      <c r="E120" s="4">
        <v>12</v>
      </c>
      <c r="F120" s="5" t="s">
        <v>41</v>
      </c>
      <c r="G120" s="6" t="str" cm="1">
        <f t="array" ref="G120">IF(OR(BD_Versos[[#This Row],[Libro]]="",BD_Versos[[#This Row],[Capítulo]]="",BD_Versos[[#This Row],[Versículo]]=""),"",ExtraerPasaje(_xlfn.CONCAT(BD_Versos[[#This Row],[Libro]],BD_Versos[[#This Row],[Capítulo]],":",BD_Versos[[#This Row],[Versículo]])))</f>
        <v xml:space="preserve">_x000D_ _x000D_ 9 Y fue arrojado el gran dragón(A), la serpiente antigua(B) que se llama el diablo y Satanás(C), el cual engaña al mundo entero[a](D); fue arrojado a la tierra(E) y sus ángeles fueron arrojados con él. _x000D_ </v>
      </c>
      <c r="H120" s="4">
        <f t="shared" si="8"/>
        <v>120</v>
      </c>
      <c r="I120" s="4">
        <f t="shared" si="9"/>
        <v>118</v>
      </c>
      <c r="J120" s="4"/>
      <c r="K120" s="4">
        <v>3483</v>
      </c>
      <c r="L120" s="4">
        <v>0</v>
      </c>
    </row>
    <row r="121" spans="1:12" ht="75" x14ac:dyDescent="0.25">
      <c r="A121" s="2">
        <f>IF(BD_Versos[[#This Row],[Tema_Principal]]="","",ROW(BD_Versos[[#This Row],[Tema_Principal]])-1)</f>
        <v>120</v>
      </c>
      <c r="B121" s="3" t="s">
        <v>44</v>
      </c>
      <c r="C121" s="2" t="s">
        <v>158</v>
      </c>
      <c r="D121" s="4" t="s">
        <v>42</v>
      </c>
      <c r="E121" s="4">
        <v>20</v>
      </c>
      <c r="F121" s="5" t="s">
        <v>38</v>
      </c>
      <c r="G121" s="6" t="str" cm="1">
        <f t="array" ref="G121">IF(OR(BD_Versos[[#This Row],[Libro]]="",BD_Versos[[#This Row],[Capítulo]]="",BD_Versos[[#This Row],[Versículo]]=""),"",ExtraerPasaje(_xlfn.CONCAT(BD_Versos[[#This Row],[Libro]],BD_Versos[[#This Row],[Capítulo]],":",BD_Versos[[#This Row],[Versículo]])))</f>
        <v xml:space="preserve">_x000D_ _x000D_ 3 y lo arrojó al abismo(A), y lo cerró y lo selló sobre él(B), para que no engañara más a las naciones(C), hasta que se cumplieran los mil años; después de esto debe ser desatado por un poco de tiempo._x000D_ </v>
      </c>
      <c r="I121" s="4">
        <f t="shared" si="9"/>
        <v>119</v>
      </c>
      <c r="J121" s="4"/>
      <c r="K121" s="4">
        <v>3483</v>
      </c>
      <c r="L121" s="4">
        <v>0</v>
      </c>
    </row>
    <row r="122" spans="1:12" ht="45" x14ac:dyDescent="0.25">
      <c r="A122" s="2">
        <f>IF(BD_Versos[[#This Row],[Tema_Principal]]="","",ROW(BD_Versos[[#This Row],[Tema_Principal]])-1)</f>
        <v>121</v>
      </c>
      <c r="B122" s="3" t="s">
        <v>44</v>
      </c>
      <c r="C122" s="2" t="s">
        <v>159</v>
      </c>
      <c r="D122" s="4" t="s">
        <v>46</v>
      </c>
      <c r="E122" s="4">
        <v>3</v>
      </c>
      <c r="F122" s="5" t="s">
        <v>35</v>
      </c>
      <c r="G122" s="6" t="str" cm="1">
        <f t="array" ref="G122">IF(OR(BD_Versos[[#This Row],[Libro]]="",BD_Versos[[#This Row],[Capítulo]]="",BD_Versos[[#This Row],[Versículo]]=""),"",ExtraerPasaje(_xlfn.CONCAT(BD_Versos[[#This Row],[Libro]],BD_Versos[[#This Row],[Capítulo]],":",BD_Versos[[#This Row],[Versículo]])))</f>
        <v xml:space="preserve">_x000D_ _x000D_ 5 Pues Dios sabe que el día que de él comáis, serán abiertos vuestros ojos y seréis como Dios, conociendo el bien y el mal(A). _x000D_ </v>
      </c>
      <c r="H122" s="4">
        <f t="shared" ref="H122:H123" si="10">A123</f>
        <v>122</v>
      </c>
      <c r="J122" s="4" t="s">
        <v>160</v>
      </c>
      <c r="K122" s="4">
        <v>3484</v>
      </c>
      <c r="L122" s="4">
        <v>0</v>
      </c>
    </row>
    <row r="123" spans="1:12" ht="60" x14ac:dyDescent="0.25">
      <c r="A123" s="2">
        <f>IF(BD_Versos[[#This Row],[Tema_Principal]]="","",ROW(BD_Versos[[#This Row],[Tema_Principal]])-1)</f>
        <v>122</v>
      </c>
      <c r="B123" s="3" t="s">
        <v>44</v>
      </c>
      <c r="C123" s="2" t="s">
        <v>159</v>
      </c>
      <c r="D123" s="4" t="s">
        <v>50</v>
      </c>
      <c r="E123" s="4">
        <v>4</v>
      </c>
      <c r="F123" s="5" t="s">
        <v>34</v>
      </c>
      <c r="G123" s="6" t="str" cm="1">
        <f t="array" ref="G123">IF(OR(BD_Versos[[#This Row],[Libro]]="",BD_Versos[[#This Row],[Capítulo]]="",BD_Versos[[#This Row],[Versículo]]=""),"",ExtraerPasaje(_xlfn.CONCAT(BD_Versos[[#This Row],[Libro]],BD_Versos[[#This Row],[Capítulo]],":",BD_Versos[[#This Row],[Versículo]])))</f>
        <v xml:space="preserve">_x000D_ _x000D_ 6 y le dijo*: Si eres Hijo de Dios, lánzate abajo, pues escrito está:_x000D_ _x000D_ _x000D_ «A sus Ángeles te encomendará»,_x000D_ y:_x000D_ «En las manos te llevarán,_x000D_ no sea que tu pie tropiece en piedra(A)»._x000D_ </v>
      </c>
      <c r="H123" s="4">
        <f t="shared" si="10"/>
        <v>123</v>
      </c>
      <c r="I123" s="4">
        <f t="shared" ref="I123" si="11">A122</f>
        <v>121</v>
      </c>
      <c r="J123" s="4" t="s">
        <v>161</v>
      </c>
      <c r="K123" s="4">
        <v>3484</v>
      </c>
      <c r="L123" s="4">
        <v>0</v>
      </c>
    </row>
    <row r="124" spans="1:12" ht="45" x14ac:dyDescent="0.25">
      <c r="A124" s="2">
        <f>IF(BD_Versos[[#This Row],[Tema_Principal]]="","",ROW(BD_Versos[[#This Row],[Tema_Principal]])-1)</f>
        <v>123</v>
      </c>
      <c r="B124" s="3" t="s">
        <v>44</v>
      </c>
      <c r="C124" s="2" t="s">
        <v>159</v>
      </c>
      <c r="D124" s="4" t="s">
        <v>30</v>
      </c>
      <c r="E124" s="4">
        <v>1</v>
      </c>
      <c r="F124" s="5" t="s">
        <v>113</v>
      </c>
      <c r="G124" s="6" t="str" cm="1">
        <f t="array" ref="G124">IF(OR(BD_Versos[[#This Row],[Libro]]="",BD_Versos[[#This Row],[Capítulo]]="",BD_Versos[[#This Row],[Versículo]]=""),"",ExtraerPasaje(_xlfn.CONCAT(BD_Versos[[#This Row],[Libro]],BD_Versos[[#This Row],[Capítulo]],":",BD_Versos[[#This Row],[Versículo]])))</f>
        <v xml:space="preserve">_x000D_ _x000D_ 13 Y estuvo en el desierto cuarenta días, siendo tentado por Satanás(A); y estaba entre las fieras, y los ángeles le servían._x000D_ </v>
      </c>
      <c r="H124" s="4">
        <f t="shared" ref="H124:H129" si="12">A125</f>
        <v>124</v>
      </c>
      <c r="I124" s="4">
        <f t="shared" ref="I124:I130" si="13">A123</f>
        <v>122</v>
      </c>
      <c r="J124" s="4"/>
      <c r="K124" s="4">
        <v>3484</v>
      </c>
      <c r="L124" s="4">
        <v>0</v>
      </c>
    </row>
    <row r="125" spans="1:12" ht="90" x14ac:dyDescent="0.25">
      <c r="A125" s="2">
        <f>IF(BD_Versos[[#This Row],[Tema_Principal]]="","",ROW(BD_Versos[[#This Row],[Tema_Principal]])-1)</f>
        <v>124</v>
      </c>
      <c r="B125" s="3" t="s">
        <v>44</v>
      </c>
      <c r="C125" s="2" t="s">
        <v>159</v>
      </c>
      <c r="D125" s="4" t="s">
        <v>91</v>
      </c>
      <c r="E125" s="4">
        <v>8</v>
      </c>
      <c r="F125" s="5" t="s">
        <v>143</v>
      </c>
      <c r="G125" s="6" t="str" cm="1">
        <f t="array" ref="G125">IF(OR(BD_Versos[[#This Row],[Libro]]="",BD_Versos[[#This Row],[Capítulo]]="",BD_Versos[[#This Row],[Versículo]]=""),"",ExtraerPasaje(_xlfn.CONCAT(BD_Versos[[#This Row],[Libro]],BD_Versos[[#This Row],[Capítulo]],":",BD_Versos[[#This Row],[Versículo]])))</f>
        <v xml:space="preserve">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 </v>
      </c>
      <c r="H125" s="4">
        <f t="shared" si="12"/>
        <v>125</v>
      </c>
      <c r="I125" s="4">
        <f t="shared" si="13"/>
        <v>123</v>
      </c>
      <c r="J125" s="4"/>
      <c r="K125" s="4">
        <v>3484</v>
      </c>
      <c r="L125" s="4">
        <v>0</v>
      </c>
    </row>
    <row r="126" spans="1:12" ht="30" x14ac:dyDescent="0.25">
      <c r="A126" s="2">
        <f>IF(BD_Versos[[#This Row],[Tema_Principal]]="","",ROW(BD_Versos[[#This Row],[Tema_Principal]])-1)</f>
        <v>125</v>
      </c>
      <c r="B126" s="3" t="s">
        <v>44</v>
      </c>
      <c r="C126" s="2" t="s">
        <v>159</v>
      </c>
      <c r="D126" s="4" t="s">
        <v>36</v>
      </c>
      <c r="E126" s="4">
        <v>2</v>
      </c>
      <c r="F126" s="5" t="s">
        <v>37</v>
      </c>
      <c r="G126" s="6" t="str" cm="1">
        <f t="array" ref="G126">IF(OR(BD_Versos[[#This Row],[Libro]]="",BD_Versos[[#This Row],[Capítulo]]="",BD_Versos[[#This Row],[Versículo]]=""),"",ExtraerPasaje(_xlfn.CONCAT(BD_Versos[[#This Row],[Libro]],BD_Versos[[#This Row],[Capítulo]],":",BD_Versos[[#This Row],[Versículo]])))</f>
        <v xml:space="preserve">_x000D_ _x000D_ 11 para que Satanás(A) no tome ventaja sobre nosotros, pues no ignoramos sus ardides(B)._x000D_ </v>
      </c>
      <c r="H126" s="4">
        <f t="shared" si="12"/>
        <v>126</v>
      </c>
      <c r="I126" s="4">
        <f t="shared" si="13"/>
        <v>124</v>
      </c>
      <c r="J126" s="4" t="s">
        <v>162</v>
      </c>
      <c r="K126" s="4">
        <v>3484</v>
      </c>
      <c r="L126" s="4">
        <v>0</v>
      </c>
    </row>
    <row r="127" spans="1:12" ht="30" x14ac:dyDescent="0.25">
      <c r="A127" s="2">
        <f>IF(BD_Versos[[#This Row],[Tema_Principal]]="","",ROW(BD_Versos[[#This Row],[Tema_Principal]])-1)</f>
        <v>126</v>
      </c>
      <c r="B127" s="3" t="s">
        <v>44</v>
      </c>
      <c r="C127" s="2" t="s">
        <v>159</v>
      </c>
      <c r="D127" s="4" t="s">
        <v>36</v>
      </c>
      <c r="E127" s="4">
        <v>11</v>
      </c>
      <c r="F127" s="5" t="s">
        <v>47</v>
      </c>
      <c r="G127" s="6" t="str" cm="1">
        <f t="array" ref="G127">IF(OR(BD_Versos[[#This Row],[Libro]]="",BD_Versos[[#This Row],[Capítulo]]="",BD_Versos[[#This Row],[Versículo]]=""),"",ExtraerPasaje(_xlfn.CONCAT(BD_Versos[[#This Row],[Libro]],BD_Versos[[#This Row],[Capítulo]],":",BD_Versos[[#This Row],[Versículo]])))</f>
        <v xml:space="preserve">_x000D_ _x000D_ 14 Y no es de extrañar, pues aun Satanás(A) se disfraza como ángel de luz(B). _x000D_ </v>
      </c>
      <c r="H127" s="4">
        <f t="shared" si="12"/>
        <v>127</v>
      </c>
      <c r="I127" s="4">
        <f t="shared" si="13"/>
        <v>125</v>
      </c>
      <c r="J127" s="4" t="s">
        <v>163</v>
      </c>
      <c r="K127" s="4">
        <v>3484</v>
      </c>
      <c r="L127" s="4">
        <v>0</v>
      </c>
    </row>
    <row r="128" spans="1:12" ht="90" x14ac:dyDescent="0.25">
      <c r="A128" s="2">
        <f>IF(BD_Versos[[#This Row],[Tema_Principal]]="","",ROW(BD_Versos[[#This Row],[Tema_Principal]])-1)</f>
        <v>127</v>
      </c>
      <c r="B128" s="3" t="s">
        <v>44</v>
      </c>
      <c r="C128" s="2" t="s">
        <v>159</v>
      </c>
      <c r="D128" s="4" t="s">
        <v>42</v>
      </c>
      <c r="E128" s="4">
        <v>13</v>
      </c>
      <c r="F128" s="5" t="s">
        <v>47</v>
      </c>
      <c r="G128" s="6" t="str" cm="1">
        <f t="array" ref="G128">IF(OR(BD_Versos[[#This Row],[Libro]]="",BD_Versos[[#This Row],[Capítulo]]="",BD_Versos[[#This Row],[Versículo]]=""),"",ExtraerPasaje(_xlfn.CONCAT(BD_Versos[[#This Row],[Libro]],BD_Versos[[#This Row],[Capítulo]],":",BD_Versos[[#This Row],[Versículo]])))</f>
        <v xml:space="preserve">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 </v>
      </c>
      <c r="H128" s="4">
        <f t="shared" si="12"/>
        <v>128</v>
      </c>
      <c r="I128" s="4">
        <f t="shared" si="13"/>
        <v>126</v>
      </c>
      <c r="J128" s="4"/>
      <c r="K128" s="4">
        <v>3484</v>
      </c>
      <c r="L128" s="4">
        <v>0</v>
      </c>
    </row>
    <row r="129" spans="1:12" ht="105" x14ac:dyDescent="0.25">
      <c r="A129" s="2">
        <f>IF(BD_Versos[[#This Row],[Tema_Principal]]="","",ROW(BD_Versos[[#This Row],[Tema_Principal]])-1)</f>
        <v>128</v>
      </c>
      <c r="B129" s="3" t="s">
        <v>44</v>
      </c>
      <c r="C129" s="2" t="s">
        <v>159</v>
      </c>
      <c r="D129" s="4" t="s">
        <v>42</v>
      </c>
      <c r="E129" s="4">
        <v>19</v>
      </c>
      <c r="F129" s="5" t="s">
        <v>117</v>
      </c>
      <c r="G129" s="6" t="str" cm="1">
        <f t="array" ref="G129">IF(OR(BD_Versos[[#This Row],[Libro]]="",BD_Versos[[#This Row],[Capítulo]]="",BD_Versos[[#This Row],[Versículo]]=""),"",ExtraerPasaje(_xlfn.CONCAT(BD_Versos[[#This Row],[Libro]],BD_Versos[[#This Row],[Capítulo]],":",BD_Versos[[#This Row],[Versículo]])))</f>
        <v xml:space="preserve">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 </v>
      </c>
      <c r="H129" s="4">
        <f t="shared" si="12"/>
        <v>129</v>
      </c>
      <c r="I129" s="4">
        <f t="shared" si="13"/>
        <v>127</v>
      </c>
      <c r="J129" s="4"/>
      <c r="K129" s="4">
        <v>3484</v>
      </c>
      <c r="L129" s="4">
        <v>0</v>
      </c>
    </row>
    <row r="130" spans="1:12" ht="90" x14ac:dyDescent="0.25">
      <c r="A130" s="2">
        <f>IF(BD_Versos[[#This Row],[Tema_Principal]]="","",ROW(BD_Versos[[#This Row],[Tema_Principal]])-1)</f>
        <v>129</v>
      </c>
      <c r="B130" s="3" t="s">
        <v>44</v>
      </c>
      <c r="C130" s="2" t="s">
        <v>159</v>
      </c>
      <c r="D130" s="4" t="s">
        <v>42</v>
      </c>
      <c r="E130" s="4">
        <v>20</v>
      </c>
      <c r="F130" s="5" t="s">
        <v>25</v>
      </c>
      <c r="G130" s="6" t="str" cm="1">
        <f t="array" ref="G130">IF(OR(BD_Versos[[#This Row],[Libro]]="",BD_Versos[[#This Row],[Capítulo]]="",BD_Versos[[#This Row],[Versículo]]=""),"",ExtraerPasaje(_xlfn.CONCAT(BD_Versos[[#This Row],[Libro]],BD_Versos[[#This Row],[Capítulo]],":",BD_Versos[[#This Row],[Versículo]])))</f>
        <v xml:space="preserve">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 </v>
      </c>
      <c r="I130" s="4">
        <f t="shared" si="13"/>
        <v>128</v>
      </c>
      <c r="J130" s="4"/>
      <c r="K130" s="4">
        <v>3484</v>
      </c>
      <c r="L130" s="4">
        <v>0</v>
      </c>
    </row>
    <row r="131" spans="1:12" ht="45" x14ac:dyDescent="0.25">
      <c r="A131" s="2">
        <f>IF(BD_Versos[[#This Row],[Tema_Principal]]="","",ROW(BD_Versos[[#This Row],[Tema_Principal]])-1)</f>
        <v>130</v>
      </c>
      <c r="B131" s="3" t="s">
        <v>44</v>
      </c>
      <c r="C131" s="2" t="s">
        <v>164</v>
      </c>
      <c r="D131" s="4" t="s">
        <v>58</v>
      </c>
      <c r="E131" s="4">
        <v>13</v>
      </c>
      <c r="F131" s="5" t="s">
        <v>118</v>
      </c>
      <c r="G131" s="6" t="str" cm="1">
        <f t="array" ref="G131">IF(OR(BD_Versos[[#This Row],[Libro]]="",BD_Versos[[#This Row],[Capítulo]]="",BD_Versos[[#This Row],[Versículo]]=""),"",ExtraerPasaje(_xlfn.CONCAT(BD_Versos[[#This Row],[Libro]],BD_Versos[[#This Row],[Capítulo]],":",BD_Versos[[#This Row],[Versículo]])))</f>
        <v xml:space="preserve">_x000D_ _x000D_ 8 no cederás ni le escucharás(A); y tu ojo no tendrá piedad de él, tampoco lo perdonarás ni lo encubrirás(B), _x000D_ </v>
      </c>
      <c r="H131" s="4">
        <f t="shared" ref="H131:H137" si="14">A132</f>
        <v>131</v>
      </c>
      <c r="J131" s="4"/>
      <c r="K131" s="4">
        <v>3485</v>
      </c>
      <c r="L131" s="4">
        <v>0</v>
      </c>
    </row>
    <row r="132" spans="1:12" ht="45" x14ac:dyDescent="0.25">
      <c r="A132" s="2">
        <f>IF(BD_Versos[[#This Row],[Tema_Principal]]="","",ROW(BD_Versos[[#This Row],[Tema_Principal]])-1)</f>
        <v>131</v>
      </c>
      <c r="B132" s="3" t="s">
        <v>44</v>
      </c>
      <c r="C132" s="2" t="s">
        <v>164</v>
      </c>
      <c r="D132" s="4" t="s">
        <v>50</v>
      </c>
      <c r="E132" s="4">
        <v>4</v>
      </c>
      <c r="F132" s="5" t="s">
        <v>119</v>
      </c>
      <c r="G132" s="6" t="str" cm="1">
        <f t="array" ref="G132">IF(OR(BD_Versos[[#This Row],[Libro]]="",BD_Versos[[#This Row],[Capítulo]]="",BD_Versos[[#This Row],[Versículo]]=""),"",ExtraerPasaje(_xlfn.CONCAT(BD_Versos[[#This Row],[Libro]],BD_Versos[[#This Row],[Capítulo]],":",BD_Versos[[#This Row],[Versículo]])))</f>
        <v xml:space="preserve">_x000D_ _x000D_ 10 Entonces Jesús le dijo*: ¡Vete, Satanás! Porque escrito está: «Al Señor tu Dios adorarás, y solo a Él servirás[a](A)». _x000D_ </v>
      </c>
      <c r="H132" s="4">
        <f t="shared" si="14"/>
        <v>132</v>
      </c>
      <c r="I132" s="4">
        <f t="shared" ref="I132:I138" si="15">A131</f>
        <v>130</v>
      </c>
      <c r="J132" s="4"/>
      <c r="K132" s="4">
        <v>3485</v>
      </c>
      <c r="L132" s="4">
        <v>0</v>
      </c>
    </row>
    <row r="133" spans="1:12" ht="30" x14ac:dyDescent="0.25">
      <c r="A133" s="2">
        <f>IF(BD_Versos[[#This Row],[Tema_Principal]]="","",ROW(BD_Versos[[#This Row],[Tema_Principal]])-1)</f>
        <v>132</v>
      </c>
      <c r="B133" s="3" t="s">
        <v>44</v>
      </c>
      <c r="C133" s="2" t="s">
        <v>164</v>
      </c>
      <c r="D133" s="4" t="s">
        <v>33</v>
      </c>
      <c r="E133" s="4">
        <v>4</v>
      </c>
      <c r="F133" s="5" t="s">
        <v>118</v>
      </c>
      <c r="G133" s="6" t="str" cm="1">
        <f t="array" ref="G133">IF(OR(BD_Versos[[#This Row],[Libro]]="",BD_Versos[[#This Row],[Capítulo]]="",BD_Versos[[#This Row],[Versículo]]=""),"",ExtraerPasaje(_xlfn.CONCAT(BD_Versos[[#This Row],[Libro]],BD_Versos[[#This Row],[Capítulo]],":",BD_Versos[[#This Row],[Versículo]])))</f>
        <v xml:space="preserve">_x000D_ _x000D_ 8 Respondiendo Jesús, le dijo: Escrito está: «Al Señor tu Dios adorarás, y a Él solo servirás(A)». _x000D_ </v>
      </c>
      <c r="H133" s="4">
        <f t="shared" si="14"/>
        <v>133</v>
      </c>
      <c r="I133" s="4">
        <f t="shared" si="15"/>
        <v>131</v>
      </c>
      <c r="J133" s="4"/>
      <c r="K133" s="4">
        <v>3485</v>
      </c>
      <c r="L133" s="4">
        <v>0</v>
      </c>
    </row>
    <row r="134" spans="1:12" ht="30" x14ac:dyDescent="0.25">
      <c r="A134" s="2">
        <f>IF(BD_Versos[[#This Row],[Tema_Principal]]="","",ROW(BD_Versos[[#This Row],[Tema_Principal]])-1)</f>
        <v>133</v>
      </c>
      <c r="B134" s="3" t="s">
        <v>44</v>
      </c>
      <c r="C134" s="2" t="s">
        <v>164</v>
      </c>
      <c r="D134" s="4" t="s">
        <v>39</v>
      </c>
      <c r="E134" s="4">
        <v>4</v>
      </c>
      <c r="F134" s="5" t="s">
        <v>51</v>
      </c>
      <c r="G134" s="6" t="str" cm="1">
        <f t="array" ref="G134">IF(OR(BD_Versos[[#This Row],[Libro]]="",BD_Versos[[#This Row],[Capítulo]]="",BD_Versos[[#This Row],[Versículo]]=""),"",ExtraerPasaje(_xlfn.CONCAT(BD_Versos[[#This Row],[Libro]],BD_Versos[[#This Row],[Capítulo]],":",BD_Versos[[#This Row],[Versículo]])))</f>
        <v xml:space="preserve">_x000D_ _x000D_ 26 Airaos, pero no pequéis(A); no se ponga el sol sobre vuestro enojo, _x000D_ </v>
      </c>
      <c r="H134" s="4">
        <f t="shared" si="14"/>
        <v>134</v>
      </c>
      <c r="I134" s="4">
        <f t="shared" si="15"/>
        <v>132</v>
      </c>
      <c r="J134" s="4"/>
      <c r="K134" s="4">
        <v>3485</v>
      </c>
      <c r="L134" s="4">
        <v>0</v>
      </c>
    </row>
    <row r="135" spans="1:12" ht="45" x14ac:dyDescent="0.25">
      <c r="A135" s="2">
        <f>IF(BD_Versos[[#This Row],[Tema_Principal]]="","",ROW(BD_Versos[[#This Row],[Tema_Principal]])-1)</f>
        <v>134</v>
      </c>
      <c r="B135" s="3" t="s">
        <v>44</v>
      </c>
      <c r="C135" s="2" t="s">
        <v>164</v>
      </c>
      <c r="D135" s="4" t="s">
        <v>39</v>
      </c>
      <c r="E135" s="4">
        <v>6</v>
      </c>
      <c r="F135" s="5" t="s">
        <v>37</v>
      </c>
      <c r="G135" s="6" t="str" cm="1">
        <f t="array" ref="G135">IF(OR(BD_Versos[[#This Row],[Libro]]="",BD_Versos[[#This Row],[Capítulo]]="",BD_Versos[[#This Row],[Versículo]]=""),"",ExtraerPasaje(_xlfn.CONCAT(BD_Versos[[#This Row],[Libro]],BD_Versos[[#This Row],[Capítulo]],":",BD_Versos[[#This Row],[Versículo]])))</f>
        <v xml:space="preserve">_x000D_ _x000D_ 11 Revestíos con[a] toda la armadura de Dios(A) para que podáis estar firmes contra las insidias del diablo(B). _x000D_ </v>
      </c>
      <c r="H135" s="4">
        <f t="shared" si="14"/>
        <v>135</v>
      </c>
      <c r="I135" s="4">
        <f t="shared" si="15"/>
        <v>133</v>
      </c>
      <c r="J135" s="4"/>
      <c r="K135" s="4">
        <v>3485</v>
      </c>
      <c r="L135" s="4">
        <v>0</v>
      </c>
    </row>
    <row r="136" spans="1:12" ht="30" x14ac:dyDescent="0.25">
      <c r="A136" s="2">
        <f>IF(BD_Versos[[#This Row],[Tema_Principal]]="","",ROW(BD_Versos[[#This Row],[Tema_Principal]])-1)</f>
        <v>135</v>
      </c>
      <c r="B136" s="3" t="s">
        <v>44</v>
      </c>
      <c r="C136" s="2" t="s">
        <v>164</v>
      </c>
      <c r="D136" s="4" t="s">
        <v>99</v>
      </c>
      <c r="E136" s="4">
        <v>4</v>
      </c>
      <c r="F136" s="5" t="s">
        <v>43</v>
      </c>
      <c r="G136" s="6" t="str" cm="1">
        <f t="array" ref="G136">IF(OR(BD_Versos[[#This Row],[Libro]]="",BD_Versos[[#This Row],[Capítulo]]="",BD_Versos[[#This Row],[Versículo]]=""),"",ExtraerPasaje(_xlfn.CONCAT(BD_Versos[[#This Row],[Libro]],BD_Versos[[#This Row],[Capítulo]],":",BD_Versos[[#This Row],[Versículo]])))</f>
        <v xml:space="preserve">_x000D_ _x000D_ 7 Por tanto, someteos a Dios(A). Resistid, pues, al diablo y huirá de vosotros(B). _x000D_ </v>
      </c>
      <c r="H136" s="4">
        <f t="shared" si="14"/>
        <v>136</v>
      </c>
      <c r="I136" s="4">
        <f t="shared" si="15"/>
        <v>134</v>
      </c>
      <c r="J136" s="4"/>
      <c r="K136" s="4">
        <v>3485</v>
      </c>
      <c r="L136" s="4">
        <v>0</v>
      </c>
    </row>
    <row r="137" spans="1:12" ht="45" x14ac:dyDescent="0.25">
      <c r="A137" s="2">
        <f>IF(BD_Versos[[#This Row],[Tema_Principal]]="","",ROW(BD_Versos[[#This Row],[Tema_Principal]])-1)</f>
        <v>136</v>
      </c>
      <c r="B137" s="3" t="s">
        <v>44</v>
      </c>
      <c r="C137" s="2" t="s">
        <v>164</v>
      </c>
      <c r="D137" s="4" t="s">
        <v>100</v>
      </c>
      <c r="E137" s="4">
        <v>5</v>
      </c>
      <c r="F137" s="5" t="s">
        <v>118</v>
      </c>
      <c r="G137" s="6" t="str" cm="1">
        <f t="array" ref="G137">IF(OR(BD_Versos[[#This Row],[Libro]]="",BD_Versos[[#This Row],[Capítulo]]="",BD_Versos[[#This Row],[Versículo]]=""),"",ExtraerPasaje(_xlfn.CONCAT(BD_Versos[[#This Row],[Libro]],BD_Versos[[#This Row],[Capítulo]],":",BD_Versos[[#This Row],[Versículo]])))</f>
        <v xml:space="preserve">_x000D_ _x000D_ 8 Sed de espíritu sobrio(A), estad alerta(B). Vuestro adversario, el diablo(C), anda al acecho como león rugiente(D), buscando a quien devorar. _x000D_ </v>
      </c>
      <c r="H137" s="4">
        <f t="shared" si="14"/>
        <v>137</v>
      </c>
      <c r="I137" s="4">
        <f t="shared" si="15"/>
        <v>135</v>
      </c>
      <c r="J137" s="4"/>
      <c r="K137" s="4">
        <v>3485</v>
      </c>
      <c r="L137" s="4">
        <v>0</v>
      </c>
    </row>
    <row r="138" spans="1:12" ht="60" x14ac:dyDescent="0.25">
      <c r="A138" s="2">
        <f>IF(BD_Versos[[#This Row],[Tema_Principal]]="","",ROW(BD_Versos[[#This Row],[Tema_Principal]])-1)</f>
        <v>137</v>
      </c>
      <c r="B138" s="3" t="s">
        <v>44</v>
      </c>
      <c r="C138" s="2" t="s">
        <v>164</v>
      </c>
      <c r="D138" s="4" t="s">
        <v>102</v>
      </c>
      <c r="E138" s="4">
        <v>5</v>
      </c>
      <c r="F138" s="5" t="s">
        <v>108</v>
      </c>
      <c r="G138" s="6" t="str" cm="1">
        <f t="array" ref="G138">IF(OR(BD_Versos[[#This Row],[Libro]]="",BD_Versos[[#This Row],[Capítulo]]="",BD_Versos[[#This Row],[Versículo]]=""),"",ExtraerPasaje(_xlfn.CONCAT(BD_Versos[[#This Row],[Libro]],BD_Versos[[#This Row],[Capítulo]],":",BD_Versos[[#This Row],[Versículo]])))</f>
        <v xml:space="preserve">_x000D_ _x000D_ Declaraciones finales_x000D_ _x000D_ 18 Sabemos(A) que todo el que ha nacido de Dios, no peca(B); sino que aquel que nació[a] de Dios lo guarda(C) y el maligno(D) no lo toca(E). _x000D_ </v>
      </c>
      <c r="I138" s="4">
        <f t="shared" si="15"/>
        <v>136</v>
      </c>
      <c r="J138" s="4"/>
      <c r="K138" s="4">
        <v>3485</v>
      </c>
      <c r="L138" s="4">
        <v>0</v>
      </c>
    </row>
    <row r="139" spans="1:12" ht="45" x14ac:dyDescent="0.25">
      <c r="A139" s="2">
        <f>IF(BD_Versos[[#This Row],[Tema_Principal]]="","",ROW(BD_Versos[[#This Row],[Tema_Principal]])-1)</f>
        <v>138</v>
      </c>
      <c r="B139" s="3" t="s">
        <v>44</v>
      </c>
      <c r="C139" s="2" t="s">
        <v>165</v>
      </c>
      <c r="D139" s="4" t="s">
        <v>91</v>
      </c>
      <c r="E139" s="4">
        <v>12</v>
      </c>
      <c r="F139" s="5" t="s">
        <v>142</v>
      </c>
      <c r="G139" s="6" t="str" cm="1">
        <f t="array" ref="G139">IF(OR(BD_Versos[[#This Row],[Libro]]="",BD_Versos[[#This Row],[Capítulo]]="",BD_Versos[[#This Row],[Versículo]]=""),"",ExtraerPasaje(_xlfn.CONCAT(BD_Versos[[#This Row],[Libro]],BD_Versos[[#This Row],[Capítulo]],":",BD_Versos[[#This Row],[Versículo]])))</f>
        <v xml:space="preserve">_x000D_ _x000D_ 31 Ya está aquí[a] el juicio de este mundo(A); ahora el príncipe de este mundo(B) será echado fuera. _x000D_ </v>
      </c>
      <c r="H139" s="4">
        <f>A140</f>
        <v>139</v>
      </c>
      <c r="J139" s="4"/>
      <c r="K139" s="4">
        <v>3486</v>
      </c>
      <c r="L139" s="4">
        <v>0</v>
      </c>
    </row>
    <row r="140" spans="1:12" ht="45" x14ac:dyDescent="0.25">
      <c r="A140" s="2">
        <f>IF(BD_Versos[[#This Row],[Tema_Principal]]="","",ROW(BD_Versos[[#This Row],[Tema_Principal]])-1)</f>
        <v>139</v>
      </c>
      <c r="B140" s="3" t="s">
        <v>44</v>
      </c>
      <c r="C140" s="2" t="s">
        <v>165</v>
      </c>
      <c r="D140" s="4" t="s">
        <v>91</v>
      </c>
      <c r="E140" s="4">
        <v>14</v>
      </c>
      <c r="F140" s="5" t="s">
        <v>115</v>
      </c>
      <c r="G140" s="6" t="str" cm="1">
        <f t="array" ref="G140">IF(OR(BD_Versos[[#This Row],[Libro]]="",BD_Versos[[#This Row],[Capítulo]]="",BD_Versos[[#This Row],[Versículo]]=""),"",ExtraerPasaje(_xlfn.CONCAT(BD_Versos[[#This Row],[Libro]],BD_Versos[[#This Row],[Capítulo]],":",BD_Versos[[#This Row],[Versículo]])))</f>
        <v xml:space="preserve">_x000D_ _x000D_ 30 No hablaré mucho más con vosotros, porque viene el príncipe[a] de este mundo(A), y él no tiene nada en mí; _x000D_ </v>
      </c>
      <c r="H140" s="4">
        <f>A141</f>
        <v>140</v>
      </c>
      <c r="I140" s="4">
        <f>A139</f>
        <v>138</v>
      </c>
      <c r="J140" s="4"/>
      <c r="K140" s="4">
        <v>3486</v>
      </c>
      <c r="L140" s="4">
        <v>0</v>
      </c>
    </row>
    <row r="141" spans="1:12" ht="30" x14ac:dyDescent="0.25">
      <c r="A141" s="2">
        <f>IF(BD_Versos[[#This Row],[Tema_Principal]]="","",ROW(BD_Versos[[#This Row],[Tema_Principal]])-1)</f>
        <v>140</v>
      </c>
      <c r="B141" s="3" t="s">
        <v>44</v>
      </c>
      <c r="C141" s="2" t="s">
        <v>165</v>
      </c>
      <c r="D141" s="4" t="s">
        <v>91</v>
      </c>
      <c r="E141" s="4">
        <v>16</v>
      </c>
      <c r="F141" s="5" t="s">
        <v>37</v>
      </c>
      <c r="G141" s="6" t="str" cm="1">
        <f t="array" ref="G141">IF(OR(BD_Versos[[#This Row],[Libro]]="",BD_Versos[[#This Row],[Capítulo]]="",BD_Versos[[#This Row],[Versículo]]=""),"",ExtraerPasaje(_xlfn.CONCAT(BD_Versos[[#This Row],[Libro]],BD_Versos[[#This Row],[Capítulo]],":",BD_Versos[[#This Row],[Versículo]])))</f>
        <v xml:space="preserve">_x000D_ _x000D_ 11 y de juicio, porque el príncipe de este mundo ha sido juzgado(A). _x000D_ </v>
      </c>
      <c r="I141" s="4">
        <f>A140</f>
        <v>139</v>
      </c>
      <c r="J141" s="4"/>
      <c r="K141" s="4">
        <v>3486</v>
      </c>
      <c r="L141" s="4">
        <v>0</v>
      </c>
    </row>
    <row r="142" spans="1:12" ht="60" x14ac:dyDescent="0.25">
      <c r="A142" s="2">
        <f>IF(BD_Versos[[#This Row],[Tema_Principal]]="","",ROW(BD_Versos[[#This Row],[Tema_Principal]])-1)</f>
        <v>141</v>
      </c>
      <c r="B142" s="3" t="s">
        <v>309</v>
      </c>
      <c r="C142" s="2" t="s">
        <v>310</v>
      </c>
      <c r="D142" s="4" t="s">
        <v>290</v>
      </c>
      <c r="E142" s="4">
        <v>29</v>
      </c>
      <c r="F142" s="5" t="s">
        <v>119</v>
      </c>
      <c r="G142" s="6" t="str" cm="1">
        <f t="array" ref="G142">IF(OR(BD_Versos[[#This Row],[Libro]]="",BD_Versos[[#This Row],[Capítulo]]="",BD_Versos[[#This Row],[Versículo]]=""),"",ExtraerPasaje(_xlfn.CONCAT(BD_Versos[[#This Row],[Libro]],BD_Versos[[#This Row],[Capítulo]],":",BD_Versos[[#This Row],[Versículo]])))</f>
        <v xml:space="preserve">_x000D_ _x000D_ _x000D_ 10 Porque el Señor ha derramado sobre vosotros espíritu de sueño profundo(A),_x000D_ Él ha cerrado vuestros ojos: los profetas(B),_x000D_ y ha cubierto vuestras cabezas: los videntes._x000D_ </v>
      </c>
      <c r="H142" s="4">
        <v>144</v>
      </c>
      <c r="J142" s="11" t="s">
        <v>311</v>
      </c>
      <c r="K142" s="4">
        <v>3672</v>
      </c>
      <c r="L142" s="4">
        <v>0</v>
      </c>
    </row>
    <row r="143" spans="1:12" ht="45" x14ac:dyDescent="0.25">
      <c r="A143" s="2">
        <f>IF(BD_Versos[[#This Row],[Tema_Principal]]="","",ROW(BD_Versos[[#This Row],[Tema_Principal]])-1)</f>
        <v>142</v>
      </c>
      <c r="B143" s="3" t="s">
        <v>309</v>
      </c>
      <c r="C143" s="2" t="s">
        <v>310</v>
      </c>
      <c r="D143" s="4" t="s">
        <v>290</v>
      </c>
      <c r="E143" s="4">
        <v>56</v>
      </c>
      <c r="F143" s="5" t="s">
        <v>119</v>
      </c>
      <c r="G143" s="6" t="str" cm="1">
        <f t="array" ref="G143">IF(OR(BD_Versos[[#This Row],[Libro]]="",BD_Versos[[#This Row],[Capítulo]]="",BD_Versos[[#This Row],[Versículo]]=""),"",ExtraerPasaje(_xlfn.CONCAT(BD_Versos[[#This Row],[Libro]],BD_Versos[[#This Row],[Capítulo]],":",BD_Versos[[#This Row],[Versículo]])))</f>
        <v xml:space="preserve">_x000D_ _x000D_ _x000D_ 10 Sus centinelas(A) son ciegos(B),_x000D_ ninguno sabe nada._x000D_ Todos son perros mudos que no pueden ladrar,_x000D_ soñadores[a] acostados, amigos de dormir;_x000D_ </v>
      </c>
      <c r="H143" s="4">
        <f>H142+1</f>
        <v>145</v>
      </c>
      <c r="I143" s="4">
        <v>143</v>
      </c>
      <c r="J143" s="11" t="s">
        <v>311</v>
      </c>
      <c r="K143" s="4">
        <v>3672</v>
      </c>
      <c r="L143" s="4">
        <v>0</v>
      </c>
    </row>
    <row r="144" spans="1:12" ht="30" x14ac:dyDescent="0.25">
      <c r="A144" s="2">
        <f>IF(BD_Versos[[#This Row],[Tema_Principal]]="","",ROW(BD_Versos[[#This Row],[Tema_Principal]])-1)</f>
        <v>143</v>
      </c>
      <c r="B144" s="3" t="s">
        <v>309</v>
      </c>
      <c r="C144" s="2" t="s">
        <v>310</v>
      </c>
      <c r="D144" s="4" t="s">
        <v>50</v>
      </c>
      <c r="E144" s="4">
        <v>13</v>
      </c>
      <c r="F144" s="5" t="s">
        <v>138</v>
      </c>
      <c r="G144" s="6" t="str" cm="1">
        <f t="array" ref="G144">IF(OR(BD_Versos[[#This Row],[Libro]]="",BD_Versos[[#This Row],[Capítulo]]="",BD_Versos[[#This Row],[Versículo]]=""),"",ExtraerPasaje(_xlfn.CONCAT(BD_Versos[[#This Row],[Libro]],BD_Versos[[#This Row],[Capítulo]],":",BD_Versos[[#This Row],[Versículo]])))</f>
        <v xml:space="preserve">_x000D_ _x000D_ 25 Pero mientras los hombres dormían, vino su enemigo y sembró cizaña[a] entre el trigo, y se fue. _x000D_ </v>
      </c>
      <c r="H144" s="4">
        <f t="shared" ref="H144:H148" si="16">H143+1</f>
        <v>146</v>
      </c>
      <c r="I144" s="4">
        <f>I143+1</f>
        <v>144</v>
      </c>
      <c r="J144" s="11" t="s">
        <v>311</v>
      </c>
      <c r="K144" s="4">
        <v>3672</v>
      </c>
      <c r="L144" s="4">
        <v>0</v>
      </c>
    </row>
    <row r="145" spans="1:12" ht="60" x14ac:dyDescent="0.25">
      <c r="A145" s="2">
        <f>IF(BD_Versos[[#This Row],[Tema_Principal]]="","",ROW(BD_Versos[[#This Row],[Tema_Principal]])-1)</f>
        <v>144</v>
      </c>
      <c r="B145" s="3" t="s">
        <v>309</v>
      </c>
      <c r="C145" s="2" t="s">
        <v>310</v>
      </c>
      <c r="D145" s="4" t="s">
        <v>30</v>
      </c>
      <c r="E145" s="4">
        <v>13</v>
      </c>
      <c r="F145" s="5" t="s">
        <v>139</v>
      </c>
      <c r="G145" s="6" t="str" cm="1">
        <f t="array" ref="G145">IF(OR(BD_Versos[[#This Row],[Libro]]="",BD_Versos[[#This Row],[Capítulo]]="",BD_Versos[[#This Row],[Versículo]]=""),"",ExtraerPasaje(_xlfn.CONCAT(BD_Versos[[#This Row],[Libro]],BD_Versos[[#This Row],[Capítulo]],":",BD_Versos[[#This Row],[Versículo]])))</f>
        <v xml:space="preserve">_x000D_ _x000D_ 35 Por tanto, velad(A), porque no sabéis cuándo viene el señor de la casa, si al atardecer, o a la medianoche, o al canto del gallo(B), o al amanecer(C); _x000D_ </v>
      </c>
      <c r="H145" s="4">
        <f t="shared" si="16"/>
        <v>147</v>
      </c>
      <c r="I145" s="4">
        <f t="shared" ref="I145:I148" si="17">I144+1</f>
        <v>145</v>
      </c>
      <c r="J145" s="11" t="s">
        <v>311</v>
      </c>
      <c r="K145" s="4">
        <v>3672</v>
      </c>
      <c r="L145" s="4">
        <v>0</v>
      </c>
    </row>
    <row r="146" spans="1:12" ht="45" x14ac:dyDescent="0.25">
      <c r="A146" s="2">
        <f>IF(BD_Versos[[#This Row],[Tema_Principal]]="","",ROW(BD_Versos[[#This Row],[Tema_Principal]])-1)</f>
        <v>145</v>
      </c>
      <c r="B146" s="3" t="s">
        <v>309</v>
      </c>
      <c r="C146" s="2" t="s">
        <v>310</v>
      </c>
      <c r="D146" s="4" t="s">
        <v>92</v>
      </c>
      <c r="E146" s="4">
        <v>11</v>
      </c>
      <c r="F146" s="5" t="s">
        <v>118</v>
      </c>
      <c r="G146" s="6" t="str" cm="1">
        <f t="array" ref="G146">IF(OR(BD_Versos[[#This Row],[Libro]]="",BD_Versos[[#This Row],[Capítulo]]="",BD_Versos[[#This Row],[Versículo]]=""),"",ExtraerPasaje(_xlfn.CONCAT(BD_Versos[[#This Row],[Libro]],BD_Versos[[#This Row],[Capítulo]],":",BD_Versos[[#This Row],[Versículo]])))</f>
        <v xml:space="preserve">_x000D_ _x000D_ 8 tal como está escrito:_x000D_ _x000D_ _x000D_ Dios les dio un espíritu de estupor, ojos con que no ven y oídos con que no oyen, hasta el día de hoy(A)._x000D_ </v>
      </c>
      <c r="H146" s="4">
        <f t="shared" si="16"/>
        <v>148</v>
      </c>
      <c r="I146" s="4">
        <f t="shared" si="17"/>
        <v>146</v>
      </c>
      <c r="J146" s="11" t="s">
        <v>311</v>
      </c>
      <c r="K146" s="4">
        <v>3672</v>
      </c>
      <c r="L146" s="4">
        <v>0</v>
      </c>
    </row>
    <row r="147" spans="1:12" ht="75" x14ac:dyDescent="0.25">
      <c r="A147" s="2">
        <f>IF(BD_Versos[[#This Row],[Tema_Principal]]="","",ROW(BD_Versos[[#This Row],[Tema_Principal]])-1)</f>
        <v>146</v>
      </c>
      <c r="B147" s="3" t="s">
        <v>309</v>
      </c>
      <c r="C147" s="2" t="s">
        <v>310</v>
      </c>
      <c r="D147" s="4" t="s">
        <v>92</v>
      </c>
      <c r="E147" s="4">
        <v>13</v>
      </c>
      <c r="F147" s="5" t="s">
        <v>37</v>
      </c>
      <c r="G147" s="6" t="str" cm="1">
        <f t="array" ref="G147">IF(OR(BD_Versos[[#This Row],[Libro]]="",BD_Versos[[#This Row],[Capítulo]]="",BD_Versos[[#This Row],[Versículo]]=""),"",ExtraerPasaje(_xlfn.CONCAT(BD_Versos[[#This Row],[Libro]],BD_Versos[[#This Row],[Capítulo]],":",BD_Versos[[#This Row],[Versículo]])))</f>
        <v xml:space="preserve">_x000D_ _x000D_ Se acerca el amanecer_x000D_ _x000D_ 11 Y haced todo esto, conociendo el tiempo, que ya es hora(A) de despertaros del sueño(B); porque ahora la salvación está más cerca de nosotros[a] que cuando creímos. _x000D_ </v>
      </c>
      <c r="H147" s="4">
        <f t="shared" si="16"/>
        <v>149</v>
      </c>
      <c r="I147" s="4">
        <f t="shared" si="17"/>
        <v>147</v>
      </c>
      <c r="J147" s="11" t="s">
        <v>311</v>
      </c>
      <c r="K147" s="4">
        <v>3672</v>
      </c>
      <c r="L147" s="4">
        <v>0</v>
      </c>
    </row>
    <row r="148" spans="1:12" ht="30" x14ac:dyDescent="0.25">
      <c r="A148" s="2">
        <f>IF(BD_Versos[[#This Row],[Tema_Principal]]="","",ROW(BD_Versos[[#This Row],[Tema_Principal]])-1)</f>
        <v>147</v>
      </c>
      <c r="B148" s="3" t="s">
        <v>309</v>
      </c>
      <c r="C148" s="2" t="s">
        <v>310</v>
      </c>
      <c r="D148" s="10" t="s">
        <v>95</v>
      </c>
      <c r="E148" s="4">
        <v>5</v>
      </c>
      <c r="F148" s="5" t="s">
        <v>34</v>
      </c>
      <c r="G148" s="6" t="str" cm="1">
        <f t="array" ref="G148">IF(OR(BD_Versos[[#This Row],[Libro]]="",BD_Versos[[#This Row],[Capítulo]]="",BD_Versos[[#This Row],[Versículo]]=""),"",ExtraerPasaje(_xlfn.CONCAT(BD_Versos[[#This Row],[Libro]],BD_Versos[[#This Row],[Capítulo]],":",BD_Versos[[#This Row],[Versículo]])))</f>
        <v xml:space="preserve">_x000D_ _x000D_ 6 Por tanto, no durmamos(A) como los demás(B), sino estemos alerta y seamos sobrios[a](C). _x000D_ </v>
      </c>
      <c r="H148" s="4">
        <f t="shared" si="16"/>
        <v>150</v>
      </c>
      <c r="I148" s="4">
        <f t="shared" si="17"/>
        <v>148</v>
      </c>
      <c r="J148" s="11" t="s">
        <v>311</v>
      </c>
      <c r="K148" s="4">
        <v>3672</v>
      </c>
      <c r="L148" s="4">
        <v>0</v>
      </c>
    </row>
    <row r="149" spans="1:12" ht="45" x14ac:dyDescent="0.25">
      <c r="A149" s="2">
        <f>IF(BD_Versos[[#This Row],[Tema_Principal]]="","",ROW(BD_Versos[[#This Row],[Tema_Principal]])-1)</f>
        <v>148</v>
      </c>
      <c r="B149" s="3" t="s">
        <v>291</v>
      </c>
      <c r="C149" s="2" t="s">
        <v>292</v>
      </c>
      <c r="D149" s="4" t="s">
        <v>294</v>
      </c>
      <c r="E149" s="4">
        <v>19</v>
      </c>
      <c r="F149" s="5" t="s">
        <v>47</v>
      </c>
      <c r="G149" s="6" t="str" cm="1">
        <f t="array" ref="G149">IF(OR(BD_Versos[[#This Row],[Libro]]="",BD_Versos[[#This Row],[Capítulo]]="",BD_Versos[[#This Row],[Versículo]]=""),"",ExtraerPasaje(_xlfn.CONCAT(BD_Versos[[#This Row],[Libro]],BD_Versos[[#This Row],[Capítulo]],":",BD_Versos[[#This Row],[Versículo]])))</f>
        <v xml:space="preserve">_x000D_ _x000D_ 14 No maldecirás al sordo, ni pondrás tropiezo delante del ciego(A), sino que tendrás temor de[a] tu Dios; yo soy el Señor._x000D_ </v>
      </c>
      <c r="H149" s="4">
        <f>A150</f>
        <v>149</v>
      </c>
      <c r="J149" s="4"/>
      <c r="K149" s="4">
        <v>3660</v>
      </c>
      <c r="L149" s="4">
        <v>0</v>
      </c>
    </row>
    <row r="150" spans="1:12" ht="90" x14ac:dyDescent="0.25">
      <c r="A150" s="2">
        <f>IF(BD_Versos[[#This Row],[Tema_Principal]]="","",ROW(BD_Versos[[#This Row],[Tema_Principal]])-1)</f>
        <v>149</v>
      </c>
      <c r="B150" s="3" t="s">
        <v>291</v>
      </c>
      <c r="C150" s="2" t="s">
        <v>292</v>
      </c>
      <c r="D150" s="4" t="s">
        <v>63</v>
      </c>
      <c r="E150" s="4">
        <v>19</v>
      </c>
      <c r="F150" s="5" t="s">
        <v>139</v>
      </c>
      <c r="G150" s="6" t="str" cm="1">
        <f t="array" ref="G150">IF(OR(BD_Versos[[#This Row],[Libro]]="",BD_Versos[[#This Row],[Capítulo]]="",BD_Versos[[#This Row],[Versículo]]=""),"",ExtraerPasaje(_xlfn.CONCAT(BD_Versos[[#This Row],[Libro]],BD_Versos[[#This Row],[Capítulo]],":",BD_Versos[[#This Row],[Versículo]])))</f>
        <v xml:space="preserve">_x000D_ _x000D_ 35 Tengo ahora[a] ochenta años(A). ¿Puedo distinguir entre lo bueno y lo malo? ¿Puede tu siervo saborear lo que come o bebe? ¿Puede oír aún la voz de los cantores o de las cantoras(B)? ¿Por qué, pues, ha de ser tu siervo otra carga más para mi señor el rey(C)? _x000D_ </v>
      </c>
      <c r="H150" s="4">
        <f t="shared" ref="H150:H212" si="18">A151</f>
        <v>150</v>
      </c>
      <c r="I150" s="4">
        <f>A149</f>
        <v>148</v>
      </c>
      <c r="J150" s="4"/>
      <c r="K150" s="4">
        <v>3660</v>
      </c>
      <c r="L150" s="4">
        <v>0</v>
      </c>
    </row>
    <row r="151" spans="1:12" ht="60" x14ac:dyDescent="0.25">
      <c r="A151" s="2">
        <f>IF(BD_Versos[[#This Row],[Tema_Principal]]="","",ROW(BD_Versos[[#This Row],[Tema_Principal]])-1)</f>
        <v>150</v>
      </c>
      <c r="B151" s="3" t="s">
        <v>291</v>
      </c>
      <c r="C151" s="2" t="s">
        <v>292</v>
      </c>
      <c r="D151" s="4" t="s">
        <v>295</v>
      </c>
      <c r="E151" s="4">
        <v>12</v>
      </c>
      <c r="F151" s="5" t="s">
        <v>122</v>
      </c>
      <c r="G151" s="6" t="str" cm="1">
        <f t="array" ref="G151">IF(OR(BD_Versos[[#This Row],[Libro]]="",BD_Versos[[#This Row],[Capítulo]]="",BD_Versos[[#This Row],[Versículo]]=""),"",ExtraerPasaje(_xlfn.CONCAT(BD_Versos[[#This Row],[Libro]],BD_Versos[[#This Row],[Capítulo]],":",BD_Versos[[#This Row],[Versículo]])))</f>
        <v xml:space="preserve">_x000D_ _x000D_ _x000D_ 4 cuando se cierren las puertas de la calle_x000D_ por ser bajo el sonido del molino(A),_x000D_ y se levante uno al canto del ave,_x000D_ y todas las hijas del canto sean abatidas(B);_x000D_ </v>
      </c>
      <c r="H151" s="4">
        <f t="shared" si="18"/>
        <v>151</v>
      </c>
      <c r="I151" s="4">
        <f t="shared" ref="I151:I213" si="19">A150</f>
        <v>149</v>
      </c>
      <c r="J151" s="4"/>
      <c r="K151" s="4">
        <v>3660</v>
      </c>
      <c r="L151" s="4">
        <v>0</v>
      </c>
    </row>
    <row r="152" spans="1:12" ht="60" x14ac:dyDescent="0.25">
      <c r="A152" s="2">
        <f>IF(BD_Versos[[#This Row],[Tema_Principal]]="","",ROW(BD_Versos[[#This Row],[Tema_Principal]])-1)</f>
        <v>151</v>
      </c>
      <c r="B152" s="3" t="s">
        <v>291</v>
      </c>
      <c r="C152" s="2" t="s">
        <v>292</v>
      </c>
      <c r="D152" s="4" t="s">
        <v>50</v>
      </c>
      <c r="E152" s="4">
        <v>11</v>
      </c>
      <c r="F152" s="5" t="s">
        <v>35</v>
      </c>
      <c r="G152" s="6" t="str" cm="1">
        <f t="array" ref="G152">IF(OR(BD_Versos[[#This Row],[Libro]]="",BD_Versos[[#This Row],[Capítulo]]="",BD_Versos[[#This Row],[Versículo]]=""),"",ExtraerPasaje(_xlfn.CONCAT(BD_Versos[[#This Row],[Libro]],BD_Versos[[#This Row],[Capítulo]],":",BD_Versos[[#This Row],[Versículo]])))</f>
        <v xml:space="preserve">_x000D_ _x000D_ 5 los ciegos reciben la vista y los cojos andan, los leprosos quedan limpios, los sordos oyen(A), los muertos son resucitados y a los pobres se les anuncia el evangelio[a](B). _x000D_ </v>
      </c>
      <c r="H152" s="4">
        <f t="shared" si="18"/>
        <v>152</v>
      </c>
      <c r="I152" s="4">
        <f t="shared" si="19"/>
        <v>150</v>
      </c>
      <c r="J152" s="4"/>
      <c r="K152" s="4">
        <v>3660</v>
      </c>
      <c r="L152" s="4">
        <v>0</v>
      </c>
    </row>
    <row r="153" spans="1:12" ht="45" x14ac:dyDescent="0.25">
      <c r="A153" s="2">
        <f>IF(BD_Versos[[#This Row],[Tema_Principal]]="","",ROW(BD_Versos[[#This Row],[Tema_Principal]])-1)</f>
        <v>152</v>
      </c>
      <c r="B153" s="3" t="s">
        <v>291</v>
      </c>
      <c r="C153" s="2" t="s">
        <v>292</v>
      </c>
      <c r="D153" s="4" t="s">
        <v>30</v>
      </c>
      <c r="E153" s="4">
        <v>7</v>
      </c>
      <c r="F153" s="5" t="s">
        <v>121</v>
      </c>
      <c r="G153" s="6" t="str" cm="1">
        <f t="array" ref="G153">IF(OR(BD_Versos[[#This Row],[Libro]]="",BD_Versos[[#This Row],[Capítulo]]="",BD_Versos[[#This Row],[Versículo]]=""),"",ExtraerPasaje(_xlfn.CONCAT(BD_Versos[[#This Row],[Libro]],BD_Versos[[#This Row],[Capítulo]],":",BD_Versos[[#This Row],[Versículo]])))</f>
        <v xml:space="preserve">_x000D_ _x000D_ 32 Y le trajeron* a uno que era sordo y que hablaba con dificultad, y le rogaron* que pusiera la mano sobre él(A). _x000D_ </v>
      </c>
      <c r="H153" s="4">
        <f t="shared" si="18"/>
        <v>153</v>
      </c>
      <c r="I153" s="4">
        <f t="shared" si="19"/>
        <v>151</v>
      </c>
      <c r="J153" s="4"/>
      <c r="K153" s="4">
        <v>3660</v>
      </c>
      <c r="L153" s="4">
        <v>0</v>
      </c>
    </row>
    <row r="154" spans="1:12" ht="60" x14ac:dyDescent="0.25">
      <c r="A154" s="2">
        <f>IF(BD_Versos[[#This Row],[Tema_Principal]]="","",ROW(BD_Versos[[#This Row],[Tema_Principal]])-1)</f>
        <v>153</v>
      </c>
      <c r="B154" s="3" t="s">
        <v>291</v>
      </c>
      <c r="C154" s="2" t="s">
        <v>292</v>
      </c>
      <c r="D154" s="4" t="s">
        <v>30</v>
      </c>
      <c r="E154" s="4">
        <v>9</v>
      </c>
      <c r="F154" s="5" t="s">
        <v>138</v>
      </c>
      <c r="G154" s="6" t="str" cm="1">
        <f t="array" ref="G154">IF(OR(BD_Versos[[#This Row],[Libro]]="",BD_Versos[[#This Row],[Capítulo]]="",BD_Versos[[#This Row],[Versículo]]=""),"",ExtraerPasaje(_xlfn.CONCAT(BD_Versos[[#This Row],[Libro]],BD_Versos[[#This Row],[Capítulo]],":",BD_Versos[[#This Row],[Versículo]])))</f>
        <v xml:space="preserve">_x000D_ _x000D_ 25 Cuando Jesús vio que se agolpaba[a](A) una multitud, reprendió al espíritu inmundo, diciéndole: Espíritu mudo y sordo, yo te ordeno: Sal de él y no vuelvas a entrar en él. _x000D_ </v>
      </c>
      <c r="H154" s="4">
        <f t="shared" si="18"/>
        <v>154</v>
      </c>
      <c r="I154" s="4">
        <f t="shared" si="19"/>
        <v>152</v>
      </c>
      <c r="J154" s="4"/>
      <c r="K154" s="4">
        <v>3660</v>
      </c>
      <c r="L154" s="4">
        <v>0</v>
      </c>
    </row>
    <row r="155" spans="1:12" ht="90" x14ac:dyDescent="0.25">
      <c r="A155" s="2">
        <f>IF(BD_Versos[[#This Row],[Tema_Principal]]="","",ROW(BD_Versos[[#This Row],[Tema_Principal]])-1)</f>
        <v>154</v>
      </c>
      <c r="B155" s="3" t="s">
        <v>291</v>
      </c>
      <c r="C155" s="2" t="s">
        <v>292</v>
      </c>
      <c r="D155" s="4" t="s">
        <v>33</v>
      </c>
      <c r="E155" s="4">
        <v>7</v>
      </c>
      <c r="F155" s="5" t="s">
        <v>114</v>
      </c>
      <c r="G155" s="6" t="str" cm="1">
        <f t="array" ref="G155">IF(OR(BD_Versos[[#This Row],[Libro]]="",BD_Versos[[#This Row],[Capítulo]]="",BD_Versos[[#This Row],[Versículo]]=""),"",ExtraerPasaje(_xlfn.CONCAT(BD_Versos[[#This Row],[Libro]],BD_Versos[[#This Row],[Capítulo]],":",BD_Versos[[#This Row],[Versículo]])))</f>
        <v xml:space="preserve">_x000D_ _x000D_ 22 Y respondiendo Él, les dijo: Id y contad a Juan lo que habéis visto y oído: los ciegos reciben la vista, los cojos andan, los leprosos quedan limpios y los sordos oyen, los muertos son resucitados y a los pobres se les anuncia el evangelio(A). _x000D_ </v>
      </c>
      <c r="H155" s="4">
        <f t="shared" si="18"/>
        <v>155</v>
      </c>
      <c r="I155" s="4">
        <f t="shared" si="19"/>
        <v>153</v>
      </c>
      <c r="J155" s="4"/>
      <c r="K155" s="4">
        <v>3660</v>
      </c>
      <c r="L155" s="4">
        <v>0</v>
      </c>
    </row>
    <row r="156" spans="1:12" ht="45" x14ac:dyDescent="0.25">
      <c r="A156" s="2">
        <f>IF(BD_Versos[[#This Row],[Tema_Principal]]="","",ROW(BD_Versos[[#This Row],[Tema_Principal]])-1)</f>
        <v>155</v>
      </c>
      <c r="B156" s="3" t="s">
        <v>291</v>
      </c>
      <c r="C156" s="2" t="s">
        <v>293</v>
      </c>
      <c r="D156" s="4" t="s">
        <v>294</v>
      </c>
      <c r="E156" s="4">
        <v>26</v>
      </c>
      <c r="F156" s="5" t="s">
        <v>47</v>
      </c>
      <c r="G156" s="6" t="str" cm="1">
        <f t="array" ref="G156">IF(OR(BD_Versos[[#This Row],[Libro]]="",BD_Versos[[#This Row],[Capítulo]]="",BD_Versos[[#This Row],[Versículo]]=""),"",ExtraerPasaje(_xlfn.CONCAT(BD_Versos[[#This Row],[Libro]],BD_Versos[[#This Row],[Capítulo]],":",BD_Versos[[#This Row],[Versículo]])))</f>
        <v xml:space="preserve">_x000D_ _x000D_ Resultados de la desobediencia_x000D_ _x000D_ 14 »(A)Pero si no me obedecéis y no ponéis por obra todos estos mandamientos, _x000D_ </v>
      </c>
      <c r="H156" s="4">
        <f t="shared" si="18"/>
        <v>156</v>
      </c>
      <c r="I156" s="4">
        <f t="shared" si="19"/>
        <v>154</v>
      </c>
      <c r="J156" s="11" t="s">
        <v>305</v>
      </c>
      <c r="K156" s="4">
        <v>3661</v>
      </c>
      <c r="L156" s="4">
        <v>0</v>
      </c>
    </row>
    <row r="157" spans="1:12" ht="60" x14ac:dyDescent="0.25">
      <c r="A157" s="2">
        <f>IF(BD_Versos[[#This Row],[Tema_Principal]]="","",ROW(BD_Versos[[#This Row],[Tema_Principal]])-1)</f>
        <v>156</v>
      </c>
      <c r="B157" s="3" t="s">
        <v>291</v>
      </c>
      <c r="C157" s="2" t="s">
        <v>293</v>
      </c>
      <c r="D157" s="4" t="s">
        <v>296</v>
      </c>
      <c r="E157" s="4">
        <v>14</v>
      </c>
      <c r="F157" s="5" t="s">
        <v>114</v>
      </c>
      <c r="G157" s="6" t="str" cm="1">
        <f t="array" ref="G157">IF(OR(BD_Versos[[#This Row],[Libro]]="",BD_Versos[[#This Row],[Capítulo]]="",BD_Versos[[#This Row],[Versículo]]=""),"",ExtraerPasaje(_xlfn.CONCAT(BD_Versos[[#This Row],[Libro]],BD_Versos[[#This Row],[Capítulo]],":",BD_Versos[[#This Row],[Versículo]])))</f>
        <v xml:space="preserve">_x000D_ _x000D_ 22 ciertamente todos[a] los que han visto mi gloria y las señales que hice en Egipto y en el desierto(A), y que me han puesto a prueba estas diez veces(B) y no han oído mi voz, _x000D_ </v>
      </c>
      <c r="H157" s="4">
        <f t="shared" si="18"/>
        <v>157</v>
      </c>
      <c r="I157" s="4">
        <f t="shared" si="19"/>
        <v>155</v>
      </c>
      <c r="J157" s="11" t="s">
        <v>305</v>
      </c>
      <c r="K157" s="4">
        <v>3661</v>
      </c>
      <c r="L157" s="4">
        <v>0</v>
      </c>
    </row>
    <row r="158" spans="1:12" ht="60" x14ac:dyDescent="0.25">
      <c r="A158" s="2">
        <f>IF(BD_Versos[[#This Row],[Tema_Principal]]="","",ROW(BD_Versos[[#This Row],[Tema_Principal]])-1)</f>
        <v>157</v>
      </c>
      <c r="B158" s="3" t="s">
        <v>291</v>
      </c>
      <c r="C158" s="2" t="s">
        <v>293</v>
      </c>
      <c r="D158" s="4" t="s">
        <v>58</v>
      </c>
      <c r="E158" s="4">
        <v>1</v>
      </c>
      <c r="F158" s="5" t="s">
        <v>297</v>
      </c>
      <c r="G158" s="6" t="str" cm="1">
        <f t="array" ref="G158">IF(OR(BD_Versos[[#This Row],[Libro]]="",BD_Versos[[#This Row],[Capítulo]]="",BD_Versos[[#This Row],[Versículo]]=""),"",ExtraerPasaje(_xlfn.CONCAT(BD_Versos[[#This Row],[Libro]],BD_Versos[[#This Row],[Capítulo]],":",BD_Versos[[#This Row],[Versículo]])))</f>
        <v xml:space="preserve">_x000D_ _x000D_ 43 Y os hablé, pero no quisisteis escuchar. Al contrario, os rebelasteis contra el mandamiento[a] del Señor, y obrasteis con presunción, y subisteis a la región montañosa(A). _x000D_ </v>
      </c>
      <c r="H158" s="4">
        <f t="shared" si="18"/>
        <v>158</v>
      </c>
      <c r="I158" s="4">
        <f t="shared" si="19"/>
        <v>156</v>
      </c>
      <c r="J158" s="11" t="s">
        <v>305</v>
      </c>
      <c r="K158" s="4">
        <v>3661</v>
      </c>
      <c r="L158" s="4">
        <v>0</v>
      </c>
    </row>
    <row r="159" spans="1:12" ht="75" x14ac:dyDescent="0.25">
      <c r="A159" s="2">
        <f>IF(BD_Versos[[#This Row],[Tema_Principal]]="","",ROW(BD_Versos[[#This Row],[Tema_Principal]])-1)</f>
        <v>158</v>
      </c>
      <c r="B159" s="3" t="s">
        <v>291</v>
      </c>
      <c r="C159" s="2" t="s">
        <v>293</v>
      </c>
      <c r="D159" s="4" t="s">
        <v>58</v>
      </c>
      <c r="E159" s="4">
        <v>9</v>
      </c>
      <c r="F159" s="5" t="s">
        <v>298</v>
      </c>
      <c r="G159" s="6" t="str" cm="1">
        <f t="array" ref="G159">IF(OR(BD_Versos[[#This Row],[Libro]]="",BD_Versos[[#This Row],[Capítulo]]="",BD_Versos[[#This Row],[Versículo]]=""),"",ExtraerPasaje(_xlfn.CONCAT(BD_Versos[[#This Row],[Libro]],BD_Versos[[#This Row],[Capítulo]],":",BD_Versos[[#This Row],[Versículo]])))</f>
        <v xml:space="preserve">_x000D_ _x000D_ 23 Y cuando el Señor os envió de Cades-barnea(A), diciendo: «Subid y tomad posesión de la tierra que yo os he dado(B)», entonces os rebelasteis contra la orden[a] del Señor vuestro Dios; no le creísteis, ni escuchasteis su voz(C). _x000D_ </v>
      </c>
      <c r="H159" s="4">
        <f t="shared" si="18"/>
        <v>159</v>
      </c>
      <c r="I159" s="4">
        <f t="shared" si="19"/>
        <v>157</v>
      </c>
      <c r="J159" s="11" t="s">
        <v>305</v>
      </c>
      <c r="K159" s="4">
        <v>3661</v>
      </c>
      <c r="L159" s="4">
        <v>0</v>
      </c>
    </row>
    <row r="160" spans="1:12" ht="45" x14ac:dyDescent="0.25">
      <c r="A160" s="2">
        <f>IF(BD_Versos[[#This Row],[Tema_Principal]]="","",ROW(BD_Versos[[#This Row],[Tema_Principal]])-1)</f>
        <v>159</v>
      </c>
      <c r="B160" s="3" t="s">
        <v>291</v>
      </c>
      <c r="C160" s="2" t="s">
        <v>293</v>
      </c>
      <c r="D160" s="4" t="s">
        <v>58</v>
      </c>
      <c r="E160" s="4">
        <v>18</v>
      </c>
      <c r="F160" s="5" t="s">
        <v>137</v>
      </c>
      <c r="G160" s="6" t="str" cm="1">
        <f t="array" ref="G160">IF(OR(BD_Versos[[#This Row],[Libro]]="",BD_Versos[[#This Row],[Capítulo]]="",BD_Versos[[#This Row],[Versículo]]=""),"",ExtraerPasaje(_xlfn.CONCAT(BD_Versos[[#This Row],[Libro]],BD_Versos[[#This Row],[Capítulo]],":",BD_Versos[[#This Row],[Versículo]])))</f>
        <v xml:space="preserve">_x000D_ _x000D_ 19 Y sucederá que a cualquiera que no oiga mis palabras que él ha de hablar en mi nombre(A), yo mismo le pediré cuenta. _x000D_ </v>
      </c>
      <c r="H160" s="4">
        <f t="shared" si="18"/>
        <v>160</v>
      </c>
      <c r="I160" s="4">
        <f t="shared" si="19"/>
        <v>158</v>
      </c>
      <c r="J160" s="11" t="s">
        <v>305</v>
      </c>
      <c r="K160" s="4">
        <v>3661</v>
      </c>
      <c r="L160" s="4">
        <v>0</v>
      </c>
    </row>
    <row r="161" spans="1:12" ht="75" x14ac:dyDescent="0.25">
      <c r="A161" s="2">
        <f>IF(BD_Versos[[#This Row],[Tema_Principal]]="","",ROW(BD_Versos[[#This Row],[Tema_Principal]])-1)</f>
        <v>160</v>
      </c>
      <c r="B161" s="3" t="s">
        <v>291</v>
      </c>
      <c r="C161" s="2" t="s">
        <v>293</v>
      </c>
      <c r="D161" s="4" t="s">
        <v>58</v>
      </c>
      <c r="E161" s="4">
        <v>28</v>
      </c>
      <c r="F161" s="5" t="s">
        <v>299</v>
      </c>
      <c r="G161" s="6" t="str" cm="1">
        <f t="array" ref="G161">IF(OR(BD_Versos[[#This Row],[Libro]]="",BD_Versos[[#This Row],[Capítulo]]="",BD_Versos[[#This Row],[Versículo]]=""),"",ExtraerPasaje(_xlfn.CONCAT(BD_Versos[[#This Row],[Libro]],BD_Versos[[#This Row],[Capítulo]],":",BD_Versos[[#This Row],[Versículo]])))</f>
        <v xml:space="preserve">_x000D_ _x000D_ 45 Y todas estas maldiciones vendrán sobre ti y te perseguirán y te alcanzarán hasta que seas destruido(A), porque tú no escuchaste la voz del Señor tu Dios, no guardando los mandamientos y estatutos que Él te mandó. _x000D_ </v>
      </c>
      <c r="H161" s="4">
        <f t="shared" si="18"/>
        <v>161</v>
      </c>
      <c r="I161" s="4">
        <f t="shared" si="19"/>
        <v>159</v>
      </c>
      <c r="J161" s="11" t="s">
        <v>305</v>
      </c>
      <c r="K161" s="4">
        <v>3661</v>
      </c>
      <c r="L161" s="4">
        <v>0</v>
      </c>
    </row>
    <row r="162" spans="1:12" ht="45" x14ac:dyDescent="0.25">
      <c r="A162" s="2">
        <f>IF(BD_Versos[[#This Row],[Tema_Principal]]="","",ROW(BD_Versos[[#This Row],[Tema_Principal]])-1)</f>
        <v>161</v>
      </c>
      <c r="B162" s="3" t="s">
        <v>291</v>
      </c>
      <c r="C162" s="2" t="s">
        <v>293</v>
      </c>
      <c r="D162" s="4" t="s">
        <v>58</v>
      </c>
      <c r="E162" s="4">
        <v>30</v>
      </c>
      <c r="F162" s="5" t="s">
        <v>300</v>
      </c>
      <c r="G162" s="6" t="str" cm="1">
        <f t="array" ref="G162">IF(OR(BD_Versos[[#This Row],[Libro]]="",BD_Versos[[#This Row],[Capítulo]]="",BD_Versos[[#This Row],[Versículo]]=""),"",ExtraerPasaje(_xlfn.CONCAT(BD_Versos[[#This Row],[Libro]],BD_Versos[[#This Row],[Capítulo]],":",BD_Versos[[#This Row],[Versículo]])))</f>
        <v xml:space="preserve">_x000D_ _x000D_ 17 Pero si tu corazón se desvía y no escuchas, sino que te dejas arrastrar y te postras ante otros dioses y los sirves, _x000D_ </v>
      </c>
      <c r="H162" s="4">
        <f t="shared" si="18"/>
        <v>162</v>
      </c>
      <c r="I162" s="4">
        <f t="shared" si="19"/>
        <v>160</v>
      </c>
      <c r="J162" s="11" t="s">
        <v>305</v>
      </c>
      <c r="K162" s="4">
        <v>3661</v>
      </c>
      <c r="L162" s="4">
        <v>0</v>
      </c>
    </row>
    <row r="163" spans="1:12" ht="60" x14ac:dyDescent="0.25">
      <c r="A163" s="2">
        <f>IF(BD_Versos[[#This Row],[Tema_Principal]]="","",ROW(BD_Versos[[#This Row],[Tema_Principal]])-1)</f>
        <v>162</v>
      </c>
      <c r="B163" s="3" t="s">
        <v>291</v>
      </c>
      <c r="C163" s="2" t="s">
        <v>293</v>
      </c>
      <c r="D163" s="4" t="s">
        <v>60</v>
      </c>
      <c r="E163" s="4">
        <v>2</v>
      </c>
      <c r="F163" s="5" t="s">
        <v>117</v>
      </c>
      <c r="G163" s="6" t="str" cm="1">
        <f t="array" ref="G163">IF(OR(BD_Versos[[#This Row],[Libro]]="",BD_Versos[[#This Row],[Capítulo]]="",BD_Versos[[#This Row],[Versículo]]=""),"",ExtraerPasaje(_xlfn.CONCAT(BD_Versos[[#This Row],[Libro]],BD_Versos[[#This Row],[Capítulo]],":",BD_Versos[[#This Row],[Versículo]])))</f>
        <v xml:space="preserve">_x000D_ _x000D_ 20 Y se encendió la ira del Señor contra Israel(A), y dijo: Por cuanto esta nación ha quebrantado el[a] pacto que ordené a sus padres, y no ha escuchado mi voz, _x000D_ </v>
      </c>
      <c r="H163" s="4">
        <f t="shared" si="18"/>
        <v>163</v>
      </c>
      <c r="I163" s="4">
        <f t="shared" si="19"/>
        <v>161</v>
      </c>
      <c r="J163" s="11" t="s">
        <v>305</v>
      </c>
      <c r="K163" s="4">
        <v>3661</v>
      </c>
      <c r="L163" s="4">
        <v>0</v>
      </c>
    </row>
    <row r="164" spans="1:12" ht="60" x14ac:dyDescent="0.25">
      <c r="A164" s="2">
        <f>IF(BD_Versos[[#This Row],[Tema_Principal]]="","",ROW(BD_Versos[[#This Row],[Tema_Principal]])-1)</f>
        <v>163</v>
      </c>
      <c r="B164" s="3" t="s">
        <v>291</v>
      </c>
      <c r="C164" s="2" t="s">
        <v>293</v>
      </c>
      <c r="D164" s="4" t="s">
        <v>65</v>
      </c>
      <c r="E164" s="4">
        <v>18</v>
      </c>
      <c r="F164" s="5" t="s">
        <v>110</v>
      </c>
      <c r="G164" s="6" t="str" cm="1">
        <f t="array" ref="G164">IF(OR(BD_Versos[[#This Row],[Libro]]="",BD_Versos[[#This Row],[Capítulo]]="",BD_Versos[[#This Row],[Versículo]]=""),"",ExtraerPasaje(_xlfn.CONCAT(BD_Versos[[#This Row],[Libro]],BD_Versos[[#This Row],[Capítulo]],":",BD_Versos[[#This Row],[Versículo]])))</f>
        <v xml:space="preserve">_x000D_ _x000D_ 12 porque no obedecieron la voz del Señor su Dios, sino que quebrantaron su pacto, es decir, todo lo que Moisés, siervo del Señor, había ordenado; no escucharon, ni lo cumplieron(A)._x000D_ </v>
      </c>
      <c r="H164" s="4">
        <f t="shared" si="18"/>
        <v>164</v>
      </c>
      <c r="I164" s="4">
        <f t="shared" si="19"/>
        <v>162</v>
      </c>
      <c r="J164" s="11" t="s">
        <v>305</v>
      </c>
      <c r="K164" s="4">
        <v>3661</v>
      </c>
      <c r="L164" s="4">
        <v>0</v>
      </c>
    </row>
    <row r="165" spans="1:12" ht="60" x14ac:dyDescent="0.25">
      <c r="A165" s="2">
        <f>IF(BD_Versos[[#This Row],[Tema_Principal]]="","",ROW(BD_Versos[[#This Row],[Tema_Principal]])-1)</f>
        <v>164</v>
      </c>
      <c r="B165" s="3" t="s">
        <v>291</v>
      </c>
      <c r="C165" s="2" t="s">
        <v>293</v>
      </c>
      <c r="D165" s="4" t="s">
        <v>65</v>
      </c>
      <c r="E165" s="4">
        <v>21</v>
      </c>
      <c r="F165" s="5" t="s">
        <v>41</v>
      </c>
      <c r="G165" s="6" t="str" cm="1">
        <f t="array" ref="G165">IF(OR(BD_Versos[[#This Row],[Libro]]="",BD_Versos[[#This Row],[Capítulo]]="",BD_Versos[[#This Row],[Versículo]]=""),"",ExtraerPasaje(_xlfn.CONCAT(BD_Versos[[#This Row],[Libro]],BD_Versos[[#This Row],[Capítulo]],":",BD_Versos[[#This Row],[Versículo]])))</f>
        <v xml:space="preserve">_x000D_ _x000D_ 9 Pero ellos no escucharon, y Manasés los hizo extraviar para que hicieran lo malo(A) más que las naciones que el Señor había destruido delante de los hijos de Israel._x000D_ </v>
      </c>
      <c r="H165" s="4">
        <f t="shared" si="18"/>
        <v>165</v>
      </c>
      <c r="I165" s="4">
        <f t="shared" si="19"/>
        <v>163</v>
      </c>
      <c r="J165" s="11" t="s">
        <v>305</v>
      </c>
      <c r="K165" s="4">
        <v>3661</v>
      </c>
      <c r="L165" s="4">
        <v>0</v>
      </c>
    </row>
    <row r="166" spans="1:12" ht="30" x14ac:dyDescent="0.25">
      <c r="A166" s="2">
        <f>IF(BD_Versos[[#This Row],[Tema_Principal]]="","",ROW(BD_Versos[[#This Row],[Tema_Principal]])-1)</f>
        <v>165</v>
      </c>
      <c r="B166" s="3" t="s">
        <v>291</v>
      </c>
      <c r="C166" s="2" t="s">
        <v>293</v>
      </c>
      <c r="D166" s="4" t="s">
        <v>301</v>
      </c>
      <c r="E166" s="4">
        <v>33</v>
      </c>
      <c r="F166" s="5" t="s">
        <v>119</v>
      </c>
      <c r="G166" s="6" t="str" cm="1">
        <f t="array" ref="G166">IF(OR(BD_Versos[[#This Row],[Libro]]="",BD_Versos[[#This Row],[Capítulo]]="",BD_Versos[[#This Row],[Versículo]]=""),"",ExtraerPasaje(_xlfn.CONCAT(BD_Versos[[#This Row],[Libro]],BD_Versos[[#This Row],[Capítulo]],":",BD_Versos[[#This Row],[Versículo]])))</f>
        <v xml:space="preserve">_x000D_ _x000D_ 10 Y el Señor habló a Manasés y a su pueblo, pero ellos no hicieron caso(A). _x000D_ </v>
      </c>
      <c r="H166" s="4">
        <f t="shared" si="18"/>
        <v>166</v>
      </c>
      <c r="I166" s="4">
        <f t="shared" si="19"/>
        <v>164</v>
      </c>
      <c r="J166" s="11" t="s">
        <v>305</v>
      </c>
      <c r="K166" s="4">
        <v>3661</v>
      </c>
      <c r="L166" s="4">
        <v>0</v>
      </c>
    </row>
    <row r="167" spans="1:12" ht="45" x14ac:dyDescent="0.25">
      <c r="A167" s="2">
        <f>IF(BD_Versos[[#This Row],[Tema_Principal]]="","",ROW(BD_Versos[[#This Row],[Tema_Principal]])-1)</f>
        <v>166</v>
      </c>
      <c r="B167" s="3" t="s">
        <v>291</v>
      </c>
      <c r="C167" s="2" t="s">
        <v>293</v>
      </c>
      <c r="D167" s="4" t="s">
        <v>302</v>
      </c>
      <c r="E167" s="4">
        <v>9</v>
      </c>
      <c r="F167" s="5" t="s">
        <v>124</v>
      </c>
      <c r="G167" s="6" t="str" cm="1">
        <f t="array" ref="G167">IF(OR(BD_Versos[[#This Row],[Libro]]="",BD_Versos[[#This Row],[Capítulo]]="",BD_Versos[[#This Row],[Versículo]]=""),"",ExtraerPasaje(_xlfn.CONCAT(BD_Versos[[#This Row],[Libro]],BD_Versos[[#This Row],[Capítulo]],":",BD_Versos[[#This Row],[Versículo]])))</f>
        <v xml:space="preserve">_x000D_ _x000D_ _x000D_ 16 Pero ellos, nuestros padres, obraron con soberbia(A),_x000D_ endurecieron su cerviz y no escucharon tus mandamientos(B)._x000D_ </v>
      </c>
      <c r="H167" s="4">
        <f t="shared" si="18"/>
        <v>167</v>
      </c>
      <c r="I167" s="4">
        <f t="shared" si="19"/>
        <v>165</v>
      </c>
      <c r="J167" s="11" t="s">
        <v>305</v>
      </c>
      <c r="K167" s="4">
        <v>3661</v>
      </c>
      <c r="L167" s="4">
        <v>0</v>
      </c>
    </row>
    <row r="168" spans="1:12" ht="30" x14ac:dyDescent="0.25">
      <c r="A168" s="2">
        <f>IF(BD_Versos[[#This Row],[Tema_Principal]]="","",ROW(BD_Versos[[#This Row],[Tema_Principal]])-1)</f>
        <v>167</v>
      </c>
      <c r="B168" s="3" t="s">
        <v>291</v>
      </c>
      <c r="C168" s="2" t="s">
        <v>293</v>
      </c>
      <c r="D168" s="4" t="s">
        <v>71</v>
      </c>
      <c r="E168" s="4">
        <v>58</v>
      </c>
      <c r="F168" s="5" t="s">
        <v>122</v>
      </c>
      <c r="G168" s="6" t="str" cm="1">
        <f t="array" ref="G168">IF(OR(BD_Versos[[#This Row],[Libro]]="",BD_Versos[[#This Row],[Capítulo]]="",BD_Versos[[#This Row],[Versículo]]=""),"",ExtraerPasaje(_xlfn.CONCAT(BD_Versos[[#This Row],[Libro]],BD_Versos[[#This Row],[Capítulo]],":",BD_Versos[[#This Row],[Versículo]])))</f>
        <v xml:space="preserve">_x000D_ _x000D_ _x000D_ 4 Tienen veneno como veneno de serpiente(A);_x000D_ son como una cobra sorda que cierra su oído,_x000D_ </v>
      </c>
      <c r="H168" s="4">
        <f t="shared" si="18"/>
        <v>168</v>
      </c>
      <c r="I168" s="4">
        <f t="shared" si="19"/>
        <v>166</v>
      </c>
      <c r="J168" s="11" t="s">
        <v>305</v>
      </c>
      <c r="K168" s="4">
        <v>3661</v>
      </c>
      <c r="L168" s="4">
        <v>0</v>
      </c>
    </row>
    <row r="169" spans="1:12" ht="30" x14ac:dyDescent="0.25">
      <c r="A169" s="2">
        <f>IF(BD_Versos[[#This Row],[Tema_Principal]]="","",ROW(BD_Versos[[#This Row],[Tema_Principal]])-1)</f>
        <v>168</v>
      </c>
      <c r="B169" s="3" t="s">
        <v>291</v>
      </c>
      <c r="C169" s="2" t="s">
        <v>293</v>
      </c>
      <c r="D169" s="4" t="s">
        <v>72</v>
      </c>
      <c r="E169" s="4">
        <v>5</v>
      </c>
      <c r="F169" s="5" t="s">
        <v>113</v>
      </c>
      <c r="G169" s="6" t="str" cm="1">
        <f t="array" ref="G169">IF(OR(BD_Versos[[#This Row],[Libro]]="",BD_Versos[[#This Row],[Capítulo]]="",BD_Versos[[#This Row],[Versículo]]=""),"",ExtraerPasaje(_xlfn.CONCAT(BD_Versos[[#This Row],[Libro]],BD_Versos[[#This Row],[Capítulo]],":",BD_Versos[[#This Row],[Versículo]])))</f>
        <v xml:space="preserve">_x000D_ _x000D_ _x000D_ 13 No he escuchado la voz de mis maestros,_x000D_ ni he inclinado mi oído a mis instructores(A)._x000D_ </v>
      </c>
      <c r="H169" s="4">
        <f t="shared" si="18"/>
        <v>169</v>
      </c>
      <c r="I169" s="4">
        <f t="shared" si="19"/>
        <v>167</v>
      </c>
      <c r="J169" s="11" t="s">
        <v>305</v>
      </c>
      <c r="K169" s="4">
        <v>3661</v>
      </c>
      <c r="L169" s="4">
        <v>0</v>
      </c>
    </row>
    <row r="170" spans="1:12" ht="45" x14ac:dyDescent="0.25">
      <c r="A170" s="2">
        <f>IF(BD_Versos[[#This Row],[Tema_Principal]]="","",ROW(BD_Versos[[#This Row],[Tema_Principal]])-1)</f>
        <v>169</v>
      </c>
      <c r="B170" s="3" t="s">
        <v>291</v>
      </c>
      <c r="C170" s="2" t="s">
        <v>293</v>
      </c>
      <c r="D170" s="4" t="s">
        <v>72</v>
      </c>
      <c r="E170" s="4">
        <v>13</v>
      </c>
      <c r="F170" s="5" t="s">
        <v>28</v>
      </c>
      <c r="G170" s="6" t="str" cm="1">
        <f t="array" ref="G170">IF(OR(BD_Versos[[#This Row],[Libro]]="",BD_Versos[[#This Row],[Capítulo]]="",BD_Versos[[#This Row],[Versículo]]=""),"",ExtraerPasaje(_xlfn.CONCAT(BD_Versos[[#This Row],[Libro]],BD_Versos[[#This Row],[Capítulo]],":",BD_Versos[[#This Row],[Versículo]])))</f>
        <v xml:space="preserve">_x000D_ _x000D_ _x000D_ 13 El hijo sabio acepta la disciplina[a] de su padre(A),_x000D_ pero el escarnecedor no escucha la reprensión(B)._x000D_ </v>
      </c>
      <c r="H170" s="4">
        <f t="shared" si="18"/>
        <v>170</v>
      </c>
      <c r="I170" s="4">
        <f t="shared" si="19"/>
        <v>168</v>
      </c>
      <c r="J170" s="11" t="s">
        <v>305</v>
      </c>
      <c r="K170" s="4">
        <v>3661</v>
      </c>
      <c r="L170" s="4">
        <v>0</v>
      </c>
    </row>
    <row r="171" spans="1:12" ht="75" x14ac:dyDescent="0.25">
      <c r="A171" s="2">
        <f>IF(BD_Versos[[#This Row],[Tema_Principal]]="","",ROW(BD_Versos[[#This Row],[Tema_Principal]])-1)</f>
        <v>170</v>
      </c>
      <c r="B171" s="3" t="s">
        <v>291</v>
      </c>
      <c r="C171" s="2" t="s">
        <v>293</v>
      </c>
      <c r="D171" s="4" t="s">
        <v>290</v>
      </c>
      <c r="E171" s="4">
        <v>6</v>
      </c>
      <c r="F171" s="5" t="s">
        <v>119</v>
      </c>
      <c r="G171" s="6" t="str" cm="1">
        <f t="array" ref="G171">IF(OR(BD_Versos[[#This Row],[Libro]]="",BD_Versos[[#This Row],[Capítulo]]="",BD_Versos[[#This Row],[Versículo]]=""),"",ExtraerPasaje(_xlfn.CONCAT(BD_Versos[[#This Row],[Libro]],BD_Versos[[#This Row],[Capítulo]],":",BD_Versos[[#This Row],[Versículo]])))</f>
        <v xml:space="preserve">_x000D_ _x000D_ _x000D_ 10 Haz insensible[a](A) el corazón de este pueblo,_x000D_ endurece[b] sus oídos,_x000D_ y nubla[c] sus ojos,_x000D_ no sea que vea con sus ojos,_x000D_ y oiga con sus oídos(B),_x000D_ y entienda con su corazón,_x000D_ y se arrepienta y sea curado(C)._x000D_ </v>
      </c>
      <c r="H171" s="4">
        <f t="shared" si="18"/>
        <v>171</v>
      </c>
      <c r="I171" s="4">
        <f t="shared" si="19"/>
        <v>169</v>
      </c>
      <c r="J171" s="11" t="s">
        <v>305</v>
      </c>
      <c r="K171" s="4">
        <v>3661</v>
      </c>
      <c r="L171" s="4">
        <v>0</v>
      </c>
    </row>
    <row r="172" spans="1:12" ht="45" x14ac:dyDescent="0.25">
      <c r="A172" s="2">
        <f>IF(BD_Versos[[#This Row],[Tema_Principal]]="","",ROW(BD_Versos[[#This Row],[Tema_Principal]])-1)</f>
        <v>171</v>
      </c>
      <c r="B172" s="3" t="s">
        <v>291</v>
      </c>
      <c r="C172" s="2" t="s">
        <v>293</v>
      </c>
      <c r="D172" s="4" t="s">
        <v>290</v>
      </c>
      <c r="E172" s="4">
        <v>28</v>
      </c>
      <c r="F172" s="5" t="s">
        <v>110</v>
      </c>
      <c r="G172" s="6" t="str" cm="1">
        <f t="array" ref="G172">IF(OR(BD_Versos[[#This Row],[Libro]]="",BD_Versos[[#This Row],[Capítulo]]="",BD_Versos[[#This Row],[Versículo]]=""),"",ExtraerPasaje(_xlfn.CONCAT(BD_Versos[[#This Row],[Libro]],BD_Versos[[#This Row],[Capítulo]],":",BD_Versos[[#This Row],[Versículo]])))</f>
        <v xml:space="preserve">_x000D_ _x000D_ _x000D_ 12 al cual había dicho: Aquí hay reposo, dad reposo al cansado;_x000D_ y: Aquí hay descanso. Pero no quisieron escuchar(A)._x000D_ </v>
      </c>
      <c r="H172" s="4">
        <f t="shared" si="18"/>
        <v>172</v>
      </c>
      <c r="I172" s="4">
        <f t="shared" si="19"/>
        <v>170</v>
      </c>
      <c r="J172" s="11" t="s">
        <v>305</v>
      </c>
      <c r="K172" s="4">
        <v>3661</v>
      </c>
      <c r="L172" s="4">
        <v>0</v>
      </c>
    </row>
    <row r="173" spans="1:12" ht="30" x14ac:dyDescent="0.25">
      <c r="A173" s="2">
        <f>IF(BD_Versos[[#This Row],[Tema_Principal]]="","",ROW(BD_Versos[[#This Row],[Tema_Principal]])-1)</f>
        <v>172</v>
      </c>
      <c r="B173" s="3" t="s">
        <v>291</v>
      </c>
      <c r="C173" s="2" t="s">
        <v>293</v>
      </c>
      <c r="D173" s="4" t="s">
        <v>290</v>
      </c>
      <c r="E173" s="4">
        <v>35</v>
      </c>
      <c r="F173" s="5" t="s">
        <v>35</v>
      </c>
      <c r="G173" s="6" t="str" cm="1">
        <f t="array" ref="G173">IF(OR(BD_Versos[[#This Row],[Libro]]="",BD_Versos[[#This Row],[Capítulo]]="",BD_Versos[[#This Row],[Versículo]]=""),"",ExtraerPasaje(_xlfn.CONCAT(BD_Versos[[#This Row],[Libro]],BD_Versos[[#This Row],[Capítulo]],":",BD_Versos[[#This Row],[Versículo]])))</f>
        <v xml:space="preserve">_x000D_ _x000D_ _x000D_ 5 Entonces se abrirán los ojos de los ciegos(A),_x000D_ y los oídos de los sordos se destaparán(B)._x000D_ </v>
      </c>
      <c r="H173" s="4">
        <f t="shared" si="18"/>
        <v>173</v>
      </c>
      <c r="I173" s="4">
        <f t="shared" si="19"/>
        <v>171</v>
      </c>
      <c r="J173" s="11" t="s">
        <v>305</v>
      </c>
      <c r="K173" s="4">
        <v>3661</v>
      </c>
      <c r="L173" s="4">
        <v>0</v>
      </c>
    </row>
    <row r="174" spans="1:12" x14ac:dyDescent="0.25">
      <c r="A174" s="2">
        <f>IF(BD_Versos[[#This Row],[Tema_Principal]]="","",ROW(BD_Versos[[#This Row],[Tema_Principal]])-1)</f>
        <v>173</v>
      </c>
      <c r="B174" s="3" t="s">
        <v>291</v>
      </c>
      <c r="C174" s="2" t="s">
        <v>293</v>
      </c>
      <c r="D174" s="4" t="s">
        <v>290</v>
      </c>
      <c r="E174" s="4">
        <v>42</v>
      </c>
      <c r="F174" s="5" t="s">
        <v>108</v>
      </c>
      <c r="G174" s="6" t="str" cm="1">
        <f t="array" ref="G174">IF(OR(BD_Versos[[#This Row],[Libro]]="",BD_Versos[[#This Row],[Capítulo]]="",BD_Versos[[#This Row],[Versículo]]=""),"",ExtraerPasaje(_xlfn.CONCAT(BD_Versos[[#This Row],[Libro]],BD_Versos[[#This Row],[Capítulo]],":",BD_Versos[[#This Row],[Versículo]])))</f>
        <v xml:space="preserve">_x000D_ _x000D_ _x000D_ 18 Sordos, oíd;_x000D_ ciegos, mirad y ved(A)._x000D_ </v>
      </c>
      <c r="H174" s="4">
        <f t="shared" si="18"/>
        <v>174</v>
      </c>
      <c r="I174" s="4">
        <f t="shared" si="19"/>
        <v>172</v>
      </c>
      <c r="J174" s="11" t="s">
        <v>305</v>
      </c>
      <c r="K174" s="4">
        <v>3661</v>
      </c>
      <c r="L174" s="4">
        <v>0</v>
      </c>
    </row>
    <row r="175" spans="1:12" ht="75" x14ac:dyDescent="0.25">
      <c r="A175" s="2">
        <f>IF(BD_Versos[[#This Row],[Tema_Principal]]="","",ROW(BD_Versos[[#This Row],[Tema_Principal]])-1)</f>
        <v>174</v>
      </c>
      <c r="B175" s="3" t="s">
        <v>291</v>
      </c>
      <c r="C175" s="2" t="s">
        <v>293</v>
      </c>
      <c r="D175" s="4" t="s">
        <v>290</v>
      </c>
      <c r="E175" s="4">
        <v>48</v>
      </c>
      <c r="F175" s="5" t="s">
        <v>118</v>
      </c>
      <c r="G175" s="6" t="str" cm="1">
        <f t="array" ref="G175">IF(OR(BD_Versos[[#This Row],[Libro]]="",BD_Versos[[#This Row],[Capítulo]]="",BD_Versos[[#This Row],[Versículo]]=""),"",ExtraerPasaje(_xlfn.CONCAT(BD_Versos[[#This Row],[Libro]],BD_Versos[[#This Row],[Capítulo]],":",BD_Versos[[#This Row],[Versículo]])))</f>
        <v xml:space="preserve">_x000D_ _x000D_ _x000D_ 8 Sí, tú no las oíste, ni nunca las conociste(A);_x000D_ ciertamente, no habían sido abiertos de antemano tus oídos,_x000D_ porque yo sabía que obrarías con mucha perfidia,_x000D_ y rebelde[a] te han llamado desde el seno materno(B)._x000D_ </v>
      </c>
      <c r="H175" s="4">
        <f t="shared" si="18"/>
        <v>175</v>
      </c>
      <c r="I175" s="4">
        <f t="shared" si="19"/>
        <v>173</v>
      </c>
      <c r="J175" s="11" t="s">
        <v>305</v>
      </c>
      <c r="K175" s="4">
        <v>3661</v>
      </c>
      <c r="L175" s="4">
        <v>0</v>
      </c>
    </row>
    <row r="176" spans="1:12" ht="75" x14ac:dyDescent="0.25">
      <c r="A176" s="2">
        <f>IF(BD_Versos[[#This Row],[Tema_Principal]]="","",ROW(BD_Versos[[#This Row],[Tema_Principal]])-1)</f>
        <v>175</v>
      </c>
      <c r="B176" s="3" t="s">
        <v>291</v>
      </c>
      <c r="C176" s="2" t="s">
        <v>293</v>
      </c>
      <c r="D176" s="4" t="s">
        <v>290</v>
      </c>
      <c r="E176" s="4">
        <v>65</v>
      </c>
      <c r="F176" s="5" t="s">
        <v>110</v>
      </c>
      <c r="G176" s="6" t="str" cm="1">
        <f t="array" ref="G176">IF(OR(BD_Versos[[#This Row],[Libro]]="",BD_Versos[[#This Row],[Capítulo]]="",BD_Versos[[#This Row],[Versículo]]=""),"",ExtraerPasaje(_xlfn.CONCAT(BD_Versos[[#This Row],[Libro]],BD_Versos[[#This Row],[Capítulo]],":",BD_Versos[[#This Row],[Versículo]])))</f>
        <v xml:space="preserve">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 </v>
      </c>
      <c r="H176" s="4">
        <f t="shared" si="18"/>
        <v>176</v>
      </c>
      <c r="I176" s="4">
        <f t="shared" si="19"/>
        <v>174</v>
      </c>
      <c r="J176" s="11" t="s">
        <v>305</v>
      </c>
      <c r="K176" s="4">
        <v>3661</v>
      </c>
      <c r="L176" s="4">
        <v>0</v>
      </c>
    </row>
    <row r="177" spans="1:12" ht="75" x14ac:dyDescent="0.25">
      <c r="A177" s="2">
        <f>IF(BD_Versos[[#This Row],[Tema_Principal]]="","",ROW(BD_Versos[[#This Row],[Tema_Principal]])-1)</f>
        <v>176</v>
      </c>
      <c r="B177" s="3" t="s">
        <v>291</v>
      </c>
      <c r="C177" s="2" t="s">
        <v>293</v>
      </c>
      <c r="D177" s="4" t="s">
        <v>290</v>
      </c>
      <c r="E177" s="4">
        <v>66</v>
      </c>
      <c r="F177" s="5" t="s">
        <v>122</v>
      </c>
      <c r="G177" s="6" t="str" cm="1">
        <f t="array" ref="G177">IF(OR(BD_Versos[[#This Row],[Libro]]="",BD_Versos[[#This Row],[Capítulo]]="",BD_Versos[[#This Row],[Versículo]]=""),"",ExtraerPasaje(_xlfn.CONCAT(BD_Versos[[#This Row],[Libro]],BD_Versos[[#This Row],[Capítulo]],":",BD_Versos[[#This Row],[Versículo]])))</f>
        <v xml:space="preserve">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 </v>
      </c>
      <c r="H177" s="4">
        <f t="shared" si="18"/>
        <v>177</v>
      </c>
      <c r="I177" s="4">
        <f t="shared" si="19"/>
        <v>175</v>
      </c>
      <c r="J177" s="11" t="s">
        <v>305</v>
      </c>
      <c r="K177" s="4">
        <v>3661</v>
      </c>
      <c r="L177" s="4">
        <v>0</v>
      </c>
    </row>
    <row r="178" spans="1:12" ht="30" x14ac:dyDescent="0.25">
      <c r="A178" s="2">
        <f>IF(BD_Versos[[#This Row],[Tema_Principal]]="","",ROW(BD_Versos[[#This Row],[Tema_Principal]])-1)</f>
        <v>177</v>
      </c>
      <c r="B178" s="3" t="s">
        <v>291</v>
      </c>
      <c r="C178" s="2" t="s">
        <v>293</v>
      </c>
      <c r="D178" s="4" t="s">
        <v>303</v>
      </c>
      <c r="E178" s="4">
        <v>5</v>
      </c>
      <c r="F178" s="5" t="s">
        <v>123</v>
      </c>
      <c r="G178" s="6" t="str" cm="1">
        <f t="array" ref="G178">IF(OR(BD_Versos[[#This Row],[Libro]]="",BD_Versos[[#This Row],[Capítulo]]="",BD_Versos[[#This Row],[Versículo]]=""),"",ExtraerPasaje(_xlfn.CONCAT(BD_Versos[[#This Row],[Libro]],BD_Versos[[#This Row],[Capítulo]],":",BD_Versos[[#This Row],[Versículo]])))</f>
        <v xml:space="preserve">_x000D_ _x000D_ _x000D_ 21 «Oíd ahora esto, pueblo necio e insensible[a],_x000D_ que tienen ojos y no ven,_x000D_ tienen oídos y no oyen(A)._x000D_ </v>
      </c>
      <c r="H178" s="4">
        <f t="shared" si="18"/>
        <v>178</v>
      </c>
      <c r="I178" s="4">
        <f t="shared" si="19"/>
        <v>176</v>
      </c>
      <c r="J178" s="11" t="s">
        <v>305</v>
      </c>
      <c r="K178" s="4">
        <v>3661</v>
      </c>
      <c r="L178" s="4">
        <v>0</v>
      </c>
    </row>
    <row r="179" spans="1:12" ht="60" x14ac:dyDescent="0.25">
      <c r="A179" s="2">
        <f>IF(BD_Versos[[#This Row],[Tema_Principal]]="","",ROW(BD_Versos[[#This Row],[Tema_Principal]])-1)</f>
        <v>178</v>
      </c>
      <c r="B179" s="3" t="s">
        <v>291</v>
      </c>
      <c r="C179" s="2" t="s">
        <v>293</v>
      </c>
      <c r="D179" s="4" t="s">
        <v>303</v>
      </c>
      <c r="E179" s="4">
        <v>6</v>
      </c>
      <c r="F179" s="5" t="s">
        <v>119</v>
      </c>
      <c r="G179" s="6" t="str" cm="1">
        <f t="array" ref="G179">IF(OR(BD_Versos[[#This Row],[Libro]]="",BD_Versos[[#This Row],[Capítulo]]="",BD_Versos[[#This Row],[Versículo]]=""),"",ExtraerPasaje(_xlfn.CONCAT(BD_Versos[[#This Row],[Libro]],BD_Versos[[#This Row],[Capítulo]],":",BD_Versos[[#This Row],[Versículo]])))</f>
        <v xml:space="preserve">_x000D_ _x000D_ _x000D_ 10 ¿A quiénes hablaré y advertiré, para que oigan?_x000D_ He aquí, sus oídos están cerrados[a],_x000D_ y no pueden escuchar(A)._x000D_ He aquí, la palabra del Señor les es oprobio(B);_x000D_ no se deleitan en ella._x000D_ </v>
      </c>
      <c r="H179" s="4">
        <f t="shared" si="18"/>
        <v>179</v>
      </c>
      <c r="I179" s="4">
        <f t="shared" si="19"/>
        <v>177</v>
      </c>
      <c r="J179" s="11" t="s">
        <v>305</v>
      </c>
      <c r="K179" s="4">
        <v>3661</v>
      </c>
      <c r="L179" s="4">
        <v>0</v>
      </c>
    </row>
    <row r="180" spans="1:12" ht="60" x14ac:dyDescent="0.25">
      <c r="A180" s="2">
        <f>IF(BD_Versos[[#This Row],[Tema_Principal]]="","",ROW(BD_Versos[[#This Row],[Tema_Principal]])-1)</f>
        <v>179</v>
      </c>
      <c r="B180" s="3" t="s">
        <v>291</v>
      </c>
      <c r="C180" s="2" t="s">
        <v>293</v>
      </c>
      <c r="D180" s="4" t="s">
        <v>303</v>
      </c>
      <c r="E180" s="4">
        <v>6</v>
      </c>
      <c r="F180" s="5" t="s">
        <v>137</v>
      </c>
      <c r="G180" s="6" t="str" cm="1">
        <f t="array" ref="G180">IF(OR(BD_Versos[[#This Row],[Libro]]="",BD_Versos[[#This Row],[Capítulo]]="",BD_Versos[[#This Row],[Versículo]]=""),"",ExtraerPasaje(_xlfn.CONCAT(BD_Versos[[#This Row],[Libro]],BD_Versos[[#This Row],[Capítulo]],":",BD_Versos[[#This Row],[Versículo]])))</f>
        <v xml:space="preserve">_x000D_ _x000D_ _x000D_ 19 Oye, tierra: he aquí, yo traigo una calamidad sobre este pueblo(A),_x000D_ el fruto de sus planes[a](B),_x000D_ porque no han escuchado mis palabras,_x000D_ y han desechado mi ley(C)._x000D_ </v>
      </c>
      <c r="H180" s="4">
        <f t="shared" si="18"/>
        <v>180</v>
      </c>
      <c r="I180" s="4">
        <f t="shared" si="19"/>
        <v>178</v>
      </c>
      <c r="J180" s="11" t="s">
        <v>305</v>
      </c>
      <c r="K180" s="4">
        <v>3661</v>
      </c>
      <c r="L180" s="4">
        <v>0</v>
      </c>
    </row>
    <row r="181" spans="1:12" ht="60" x14ac:dyDescent="0.25">
      <c r="A181" s="2">
        <f>IF(BD_Versos[[#This Row],[Tema_Principal]]="","",ROW(BD_Versos[[#This Row],[Tema_Principal]])-1)</f>
        <v>180</v>
      </c>
      <c r="B181" s="3" t="s">
        <v>291</v>
      </c>
      <c r="C181" s="2" t="s">
        <v>293</v>
      </c>
      <c r="D181" s="4" t="s">
        <v>303</v>
      </c>
      <c r="E181" s="4">
        <v>7</v>
      </c>
      <c r="F181" s="5" t="s">
        <v>113</v>
      </c>
      <c r="G181" s="6" t="str" cm="1">
        <f t="array" ref="G181">IF(OR(BD_Versos[[#This Row],[Libro]]="",BD_Versos[[#This Row],[Capítulo]]="",BD_Versos[[#This Row],[Versículo]]=""),"",ExtraerPasaje(_xlfn.CONCAT(BD_Versos[[#This Row],[Libro]],BD_Versos[[#This Row],[Capítulo]],":",BD_Versos[[#This Row],[Versículo]])))</f>
        <v xml:space="preserve">_x000D_ _x000D_ 13 Y ahora, por cuanto habéis hecho todas estas obras —declara el Señor— y a pesar de que os hablé desde temprano y hablando sin cesar(A), no oísteis; os llamé, pero no respondisteis(B), _x000D_ </v>
      </c>
      <c r="H181" s="4">
        <f t="shared" si="18"/>
        <v>181</v>
      </c>
      <c r="I181" s="4">
        <f t="shared" si="19"/>
        <v>179</v>
      </c>
      <c r="J181" s="11" t="s">
        <v>305</v>
      </c>
      <c r="K181" s="4">
        <v>3661</v>
      </c>
      <c r="L181" s="4">
        <v>0</v>
      </c>
    </row>
    <row r="182" spans="1:12" ht="90" x14ac:dyDescent="0.25">
      <c r="A182" s="2">
        <f>IF(BD_Versos[[#This Row],[Tema_Principal]]="","",ROW(BD_Versos[[#This Row],[Tema_Principal]])-1)</f>
        <v>181</v>
      </c>
      <c r="B182" s="3" t="s">
        <v>291</v>
      </c>
      <c r="C182" s="2" t="s">
        <v>293</v>
      </c>
      <c r="D182" s="4" t="s">
        <v>303</v>
      </c>
      <c r="E182" s="4">
        <v>13</v>
      </c>
      <c r="F182" s="5" t="s">
        <v>37</v>
      </c>
      <c r="G182" s="6" t="str" cm="1">
        <f t="array" ref="G182">IF(OR(BD_Versos[[#This Row],[Libro]]="",BD_Versos[[#This Row],[Capítulo]]="",BD_Versos[[#This Row],[Versículo]]=""),"",ExtraerPasaje(_xlfn.CONCAT(BD_Versos[[#This Row],[Libro]],BD_Versos[[#This Row],[Capítulo]],":",BD_Versos[[#This Row],[Versículo]])))</f>
        <v xml:space="preserve">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 </v>
      </c>
      <c r="H182" s="4">
        <f t="shared" si="18"/>
        <v>182</v>
      </c>
      <c r="I182" s="4">
        <f t="shared" si="19"/>
        <v>180</v>
      </c>
      <c r="J182" s="11" t="s">
        <v>305</v>
      </c>
      <c r="K182" s="4">
        <v>3661</v>
      </c>
      <c r="L182" s="4">
        <v>0</v>
      </c>
    </row>
    <row r="183" spans="1:12" ht="45" x14ac:dyDescent="0.25">
      <c r="A183" s="2">
        <f>IF(BD_Versos[[#This Row],[Tema_Principal]]="","",ROW(BD_Versos[[#This Row],[Tema_Principal]])-1)</f>
        <v>182</v>
      </c>
      <c r="B183" s="3" t="s">
        <v>291</v>
      </c>
      <c r="C183" s="2" t="s">
        <v>293</v>
      </c>
      <c r="D183" s="4" t="s">
        <v>303</v>
      </c>
      <c r="E183" s="4">
        <v>17</v>
      </c>
      <c r="F183" s="5" t="s">
        <v>298</v>
      </c>
      <c r="G183" s="6" t="str" cm="1">
        <f t="array" ref="G183">IF(OR(BD_Versos[[#This Row],[Libro]]="",BD_Versos[[#This Row],[Capítulo]]="",BD_Versos[[#This Row],[Versículo]]=""),"",ExtraerPasaje(_xlfn.CONCAT(BD_Versos[[#This Row],[Libro]],BD_Versos[[#This Row],[Capítulo]],":",BD_Versos[[#This Row],[Versículo]])))</f>
        <v xml:space="preserve">_x000D_ _x000D_ 23 Sin embargo, ellos no escucharon ni inclinaron sus oídos(A), sino que endurecieron su cerviz para no oír ni recibir corrección(B)._x000D_ </v>
      </c>
      <c r="H183" s="4">
        <f t="shared" si="18"/>
        <v>183</v>
      </c>
      <c r="I183" s="4">
        <f t="shared" si="19"/>
        <v>181</v>
      </c>
      <c r="J183" s="11" t="s">
        <v>305</v>
      </c>
      <c r="K183" s="4">
        <v>3661</v>
      </c>
      <c r="L183" s="4">
        <v>0</v>
      </c>
    </row>
    <row r="184" spans="1:12" ht="90" x14ac:dyDescent="0.25">
      <c r="A184" s="2">
        <f>IF(BD_Versos[[#This Row],[Tema_Principal]]="","",ROW(BD_Versos[[#This Row],[Tema_Principal]])-1)</f>
        <v>183</v>
      </c>
      <c r="B184" s="3" t="s">
        <v>291</v>
      </c>
      <c r="C184" s="2" t="s">
        <v>293</v>
      </c>
      <c r="D184" s="4" t="s">
        <v>303</v>
      </c>
      <c r="E184" s="4">
        <v>17</v>
      </c>
      <c r="F184" s="5" t="s">
        <v>112</v>
      </c>
      <c r="G184" s="6" t="str" cm="1">
        <f t="array" ref="G184">IF(OR(BD_Versos[[#This Row],[Libro]]="",BD_Versos[[#This Row],[Capítulo]]="",BD_Versos[[#This Row],[Versículo]]=""),"",ExtraerPasaje(_xlfn.CONCAT(BD_Versos[[#This Row],[Libro]],BD_Versos[[#This Row],[Capítulo]],":",BD_Versos[[#This Row],[Versículo]])))</f>
        <v xml:space="preserve">_x000D_ _x000D_ 27 Pero si no me escucháis(A) en cuanto a santificar el día de reposo, y traéis carga y entráis por las puertas de Jerusalén en día de reposo, entonces prenderé fuego(B) a sus puertas, que consumirá los palacios[a] de Jerusalén(C), y no se apagará(D)”»._x000D_ </v>
      </c>
      <c r="H184" s="4">
        <f t="shared" si="18"/>
        <v>184</v>
      </c>
      <c r="I184" s="4">
        <f t="shared" si="19"/>
        <v>182</v>
      </c>
      <c r="J184" s="11" t="s">
        <v>305</v>
      </c>
      <c r="K184" s="4">
        <v>3661</v>
      </c>
      <c r="L184" s="4">
        <v>0</v>
      </c>
    </row>
    <row r="185" spans="1:12" ht="45" x14ac:dyDescent="0.25">
      <c r="A185" s="2">
        <f>IF(BD_Versos[[#This Row],[Tema_Principal]]="","",ROW(BD_Versos[[#This Row],[Tema_Principal]])-1)</f>
        <v>184</v>
      </c>
      <c r="B185" s="3" t="s">
        <v>291</v>
      </c>
      <c r="C185" s="2" t="s">
        <v>293</v>
      </c>
      <c r="D185" s="4" t="s">
        <v>303</v>
      </c>
      <c r="E185" s="4">
        <v>22</v>
      </c>
      <c r="F185" s="5" t="s">
        <v>123</v>
      </c>
      <c r="G185" s="6" t="str" cm="1">
        <f t="array" ref="G185">IF(OR(BD_Versos[[#This Row],[Libro]]="",BD_Versos[[#This Row],[Capítulo]]="",BD_Versos[[#This Row],[Versículo]]=""),"",ExtraerPasaje(_xlfn.CONCAT(BD_Versos[[#This Row],[Libro]],BD_Versos[[#This Row],[Capítulo]],":",BD_Versos[[#This Row],[Versículo]])))</f>
        <v xml:space="preserve">_x000D_ _x000D_ _x000D_ 21 Te hablé en tu prosperidad,_x000D_ pero dijiste: «No escucharé»._x000D_ Esta ha sido tu costumbre desde tu juventud,_x000D_ que nunca has escuchado mi voz(A)._x000D_ </v>
      </c>
      <c r="H185" s="4">
        <f t="shared" si="18"/>
        <v>185</v>
      </c>
      <c r="I185" s="4">
        <f t="shared" si="19"/>
        <v>183</v>
      </c>
      <c r="J185" s="11" t="s">
        <v>305</v>
      </c>
      <c r="K185" s="4">
        <v>3661</v>
      </c>
      <c r="L185" s="4">
        <v>0</v>
      </c>
    </row>
    <row r="186" spans="1:12" ht="75" x14ac:dyDescent="0.25">
      <c r="A186" s="2">
        <f>IF(BD_Versos[[#This Row],[Tema_Principal]]="","",ROW(BD_Versos[[#This Row],[Tema_Principal]])-1)</f>
        <v>185</v>
      </c>
      <c r="B186" s="3" t="s">
        <v>291</v>
      </c>
      <c r="C186" s="2" t="s">
        <v>293</v>
      </c>
      <c r="D186" s="4" t="s">
        <v>303</v>
      </c>
      <c r="E186" s="4">
        <v>25</v>
      </c>
      <c r="F186" s="5" t="s">
        <v>38</v>
      </c>
      <c r="G186" s="6" t="str" cm="1">
        <f t="array" ref="G186">IF(OR(BD_Versos[[#This Row],[Libro]]="",BD_Versos[[#This Row],[Capítulo]]="",BD_Versos[[#This Row],[Versículo]]=""),"",ExtraerPasaje(_xlfn.CONCAT(BD_Versos[[#This Row],[Libro]],BD_Versos[[#This Row],[Capítulo]],":",BD_Versos[[#This Row],[Versículo]])))</f>
        <v xml:space="preserve">_x000D_ _x000D_ 3 Desde el año trece de Josías, hijo de Amón, rey de Judá(A), hasta hoy, en estos[a] veintitrés años ha venido a mí la palabra del Señor(B), y os he hablado(C) repetidas veces[b], pero no habéis escuchado(D). _x000D_ </v>
      </c>
      <c r="H186" s="4">
        <f t="shared" si="18"/>
        <v>186</v>
      </c>
      <c r="I186" s="4">
        <f t="shared" si="19"/>
        <v>184</v>
      </c>
      <c r="J186" s="11" t="s">
        <v>305</v>
      </c>
      <c r="K186" s="4">
        <v>3661</v>
      </c>
      <c r="L186" s="4">
        <v>0</v>
      </c>
    </row>
    <row r="187" spans="1:12" ht="45" x14ac:dyDescent="0.25">
      <c r="A187" s="2">
        <f>IF(BD_Versos[[#This Row],[Tema_Principal]]="","",ROW(BD_Versos[[#This Row],[Tema_Principal]])-1)</f>
        <v>186</v>
      </c>
      <c r="B187" s="3" t="s">
        <v>291</v>
      </c>
      <c r="C187" s="2" t="s">
        <v>293</v>
      </c>
      <c r="D187" s="4" t="s">
        <v>303</v>
      </c>
      <c r="E187" s="4">
        <v>26</v>
      </c>
      <c r="F187" s="5" t="s">
        <v>35</v>
      </c>
      <c r="G187" s="6" t="str" cm="1">
        <f t="array" ref="G187">IF(OR(BD_Versos[[#This Row],[Libro]]="",BD_Versos[[#This Row],[Capítulo]]="",BD_Versos[[#This Row],[Versículo]]=""),"",ExtraerPasaje(_xlfn.CONCAT(BD_Versos[[#This Row],[Libro]],BD_Versos[[#This Row],[Capítulo]],":",BD_Versos[[#This Row],[Versículo]])))</f>
        <v xml:space="preserve">_x000D_ _x000D_ 5 escuchando las palabras de mis siervos los profetas que os he enviado repetidas veces[a], pero no los habéis escuchado(A), _x000D_ </v>
      </c>
      <c r="H187" s="4">
        <f t="shared" si="18"/>
        <v>187</v>
      </c>
      <c r="I187" s="4">
        <f t="shared" si="19"/>
        <v>185</v>
      </c>
      <c r="J187" s="11" t="s">
        <v>305</v>
      </c>
      <c r="K187" s="4">
        <v>3661</v>
      </c>
      <c r="L187" s="4">
        <v>0</v>
      </c>
    </row>
    <row r="188" spans="1:12" ht="60" x14ac:dyDescent="0.25">
      <c r="A188" s="2">
        <f>IF(BD_Versos[[#This Row],[Tema_Principal]]="","",ROW(BD_Versos[[#This Row],[Tema_Principal]])-1)</f>
        <v>187</v>
      </c>
      <c r="B188" s="3" t="s">
        <v>291</v>
      </c>
      <c r="C188" s="2" t="s">
        <v>293</v>
      </c>
      <c r="D188" s="4" t="s">
        <v>303</v>
      </c>
      <c r="E188" s="4">
        <v>29</v>
      </c>
      <c r="F188" s="5" t="s">
        <v>137</v>
      </c>
      <c r="G188" s="6" t="str" cm="1">
        <f t="array" ref="G188">IF(OR(BD_Versos[[#This Row],[Libro]]="",BD_Versos[[#This Row],[Capítulo]]="",BD_Versos[[#This Row],[Versículo]]=""),"",ExtraerPasaje(_xlfn.CONCAT(BD_Versos[[#This Row],[Libro]],BD_Versos[[#This Row],[Capítulo]],":",BD_Versos[[#This Row],[Versículo]])))</f>
        <v xml:space="preserve">_x000D_ _x000D_ 19 porque no han escuchado mis palabras(A)» —declara el Señor— «que les envié repetidas veces[a] por medio de mis siervos los profetas; pero no escuchasteis(B)» —declara el Señor. _x000D_ </v>
      </c>
      <c r="H188" s="4">
        <f t="shared" si="18"/>
        <v>188</v>
      </c>
      <c r="I188" s="4">
        <f t="shared" si="19"/>
        <v>186</v>
      </c>
      <c r="J188" s="11" t="s">
        <v>305</v>
      </c>
      <c r="K188" s="4">
        <v>3661</v>
      </c>
      <c r="L188" s="4">
        <v>0</v>
      </c>
    </row>
    <row r="189" spans="1:12" ht="90" x14ac:dyDescent="0.25">
      <c r="A189" s="2">
        <f>IF(BD_Versos[[#This Row],[Tema_Principal]]="","",ROW(BD_Versos[[#This Row],[Tema_Principal]])-1)</f>
        <v>188</v>
      </c>
      <c r="B189" s="3" t="s">
        <v>291</v>
      </c>
      <c r="C189" s="2" t="s">
        <v>293</v>
      </c>
      <c r="D189" s="4" t="s">
        <v>303</v>
      </c>
      <c r="E189" s="4">
        <v>35</v>
      </c>
      <c r="F189" s="5" t="s">
        <v>47</v>
      </c>
      <c r="G189" s="6" t="str" cm="1">
        <f t="array" ref="G189">IF(OR(BD_Versos[[#This Row],[Libro]]="",BD_Versos[[#This Row],[Capítulo]]="",BD_Versos[[#This Row],[Versículo]]=""),"",ExtraerPasaje(_xlfn.CONCAT(BD_Versos[[#This Row],[Libro]],BD_Versos[[#This Row],[Capítulo]],":",BD_Versos[[#This Row],[Versículo]])))</f>
        <v xml:space="preserve">_x000D_ _x000D_ 14 “Las palabras de Jonadab, hijo de Recab, que mandó a sus hijos de no beber vino, son guardadas. Por eso no beben vino hasta hoy, porque han obedecido el mandato de su padre(A). Pero yo os he hablado repetidas veces[a], con todo no me habéis escuchado(B). _x000D_ </v>
      </c>
      <c r="H189" s="4">
        <f t="shared" si="18"/>
        <v>189</v>
      </c>
      <c r="I189" s="4">
        <f t="shared" si="19"/>
        <v>187</v>
      </c>
      <c r="J189" s="11" t="s">
        <v>305</v>
      </c>
      <c r="K189" s="4">
        <v>3661</v>
      </c>
      <c r="L189" s="4">
        <v>0</v>
      </c>
    </row>
    <row r="190" spans="1:12" ht="60" x14ac:dyDescent="0.25">
      <c r="A190" s="2">
        <f>IF(BD_Versos[[#This Row],[Tema_Principal]]="","",ROW(BD_Versos[[#This Row],[Tema_Principal]])-1)</f>
        <v>189</v>
      </c>
      <c r="B190" s="3" t="s">
        <v>291</v>
      </c>
      <c r="C190" s="2" t="s">
        <v>293</v>
      </c>
      <c r="D190" s="4" t="s">
        <v>303</v>
      </c>
      <c r="E190" s="4">
        <v>35</v>
      </c>
      <c r="F190" s="5" t="s">
        <v>124</v>
      </c>
      <c r="G190" s="6" t="str" cm="1">
        <f t="array" ref="G190">IF(OR(BD_Versos[[#This Row],[Libro]]="",BD_Versos[[#This Row],[Capítulo]]="",BD_Versos[[#This Row],[Versículo]]=""),"",ExtraerPasaje(_xlfn.CONCAT(BD_Versos[[#This Row],[Libro]],BD_Versos[[#This Row],[Capítulo]],":",BD_Versos[[#This Row],[Versículo]])))</f>
        <v xml:space="preserve">_x000D_ _x000D_ 16 +’Ciertamente los hijos de Jonadab, hijo de Recab, han guardado el mandato que su padre les ordenó, pero este pueblo no me ha escuchado(A)’”». _x000D_ </v>
      </c>
      <c r="H190" s="4">
        <f t="shared" si="18"/>
        <v>190</v>
      </c>
      <c r="I190" s="4">
        <f t="shared" si="19"/>
        <v>188</v>
      </c>
      <c r="J190" s="11" t="s">
        <v>305</v>
      </c>
      <c r="K190" s="4">
        <v>3661</v>
      </c>
      <c r="L190" s="4">
        <v>0</v>
      </c>
    </row>
    <row r="191" spans="1:12" ht="75" x14ac:dyDescent="0.25">
      <c r="A191" s="2">
        <f>IF(BD_Versos[[#This Row],[Tema_Principal]]="","",ROW(BD_Versos[[#This Row],[Tema_Principal]])-1)</f>
        <v>190</v>
      </c>
      <c r="B191" s="3" t="s">
        <v>291</v>
      </c>
      <c r="C191" s="2" t="s">
        <v>293</v>
      </c>
      <c r="D191" s="4" t="s">
        <v>303</v>
      </c>
      <c r="E191" s="4">
        <v>36</v>
      </c>
      <c r="F191" s="5" t="s">
        <v>142</v>
      </c>
      <c r="G191" s="6" t="str" cm="1">
        <f t="array" ref="G191">IF(OR(BD_Versos[[#This Row],[Libro]]="",BD_Versos[[#This Row],[Capítulo]]="",BD_Versos[[#This Row],[Versículo]]=""),"",ExtraerPasaje(_xlfn.CONCAT(BD_Versos[[#This Row],[Libro]],BD_Versos[[#This Row],[Capítulo]],":",BD_Versos[[#This Row],[Versículo]])))</f>
        <v xml:space="preserve">_x000D_ _x000D_ 31 Lo castigaré, a él, a su descendencia[a](A) y a sus siervos por su iniquidad, y traeré sobre ellos, sobre los habitantes de Jerusalén y sobre los hombres de Judá toda la calamidad que les he anunciado, sin que ellos escucharan(B)”». _x000D_ </v>
      </c>
      <c r="H191" s="4">
        <f t="shared" si="18"/>
        <v>191</v>
      </c>
      <c r="I191" s="4">
        <f t="shared" si="19"/>
        <v>189</v>
      </c>
      <c r="J191" s="11" t="s">
        <v>305</v>
      </c>
      <c r="K191" s="4">
        <v>3661</v>
      </c>
      <c r="L191" s="4">
        <v>0</v>
      </c>
    </row>
    <row r="192" spans="1:12" ht="45" x14ac:dyDescent="0.25">
      <c r="A192" s="2">
        <f>IF(BD_Versos[[#This Row],[Tema_Principal]]="","",ROW(BD_Versos[[#This Row],[Tema_Principal]])-1)</f>
        <v>191</v>
      </c>
      <c r="B192" s="3" t="s">
        <v>291</v>
      </c>
      <c r="C192" s="2" t="s">
        <v>293</v>
      </c>
      <c r="D192" s="4" t="s">
        <v>303</v>
      </c>
      <c r="E192" s="4">
        <v>44</v>
      </c>
      <c r="F192" s="5" t="s">
        <v>35</v>
      </c>
      <c r="G192" s="6" t="str" cm="1">
        <f t="array" ref="G192">IF(OR(BD_Versos[[#This Row],[Libro]]="",BD_Versos[[#This Row],[Capítulo]]="",BD_Versos[[#This Row],[Versículo]]=""),"",ExtraerPasaje(_xlfn.CONCAT(BD_Versos[[#This Row],[Libro]],BD_Versos[[#This Row],[Capítulo]],":",BD_Versos[[#This Row],[Versículo]])))</f>
        <v xml:space="preserve">_x000D_ _x000D_ 5 Pero no escucharon ni inclinaron su oído para apartarse de su maldad, para dejar de quemar sacrificios a otros dioses(A). _x000D_ </v>
      </c>
      <c r="H192" s="4">
        <f t="shared" si="18"/>
        <v>192</v>
      </c>
      <c r="I192" s="4">
        <f t="shared" si="19"/>
        <v>190</v>
      </c>
      <c r="J192" s="11" t="s">
        <v>305</v>
      </c>
      <c r="K192" s="4">
        <v>3661</v>
      </c>
      <c r="L192" s="4">
        <v>0</v>
      </c>
    </row>
    <row r="193" spans="1:12" ht="60" x14ac:dyDescent="0.25">
      <c r="A193" s="2">
        <f>IF(BD_Versos[[#This Row],[Tema_Principal]]="","",ROW(BD_Versos[[#This Row],[Tema_Principal]])-1)</f>
        <v>192</v>
      </c>
      <c r="B193" s="3" t="s">
        <v>291</v>
      </c>
      <c r="C193" s="2" t="s">
        <v>293</v>
      </c>
      <c r="D193" s="4" t="s">
        <v>78</v>
      </c>
      <c r="E193" s="4">
        <v>3</v>
      </c>
      <c r="F193" s="5" t="s">
        <v>43</v>
      </c>
      <c r="G193" s="6" t="str" cm="1">
        <f t="array" ref="G193">IF(OR(BD_Versos[[#This Row],[Libro]]="",BD_Versos[[#This Row],[Capítulo]]="",BD_Versos[[#This Row],[Versículo]]=""),"",ExtraerPasaje(_xlfn.CONCAT(BD_Versos[[#This Row],[Libro]],BD_Versos[[#This Row],[Capítulo]],":",BD_Versos[[#This Row],[Versículo]])))</f>
        <v xml:space="preserve">_x000D_ _x000D_ 7 Pero la casa de Israel no te querrá escuchar, ya que no quieren escucharme a mí(A). Ciertamente toda la casa de Israel es terca[a] y de duro corazón. _x000D_ </v>
      </c>
      <c r="H193" s="4">
        <f t="shared" si="18"/>
        <v>193</v>
      </c>
      <c r="I193" s="4">
        <f t="shared" si="19"/>
        <v>191</v>
      </c>
      <c r="J193" s="11" t="s">
        <v>305</v>
      </c>
      <c r="K193" s="4">
        <v>3661</v>
      </c>
      <c r="L193" s="4">
        <v>0</v>
      </c>
    </row>
    <row r="194" spans="1:12" ht="60" x14ac:dyDescent="0.25">
      <c r="A194" s="2">
        <f>IF(BD_Versos[[#This Row],[Tema_Principal]]="","",ROW(BD_Versos[[#This Row],[Tema_Principal]])-1)</f>
        <v>193</v>
      </c>
      <c r="B194" s="3" t="s">
        <v>291</v>
      </c>
      <c r="C194" s="2" t="s">
        <v>293</v>
      </c>
      <c r="D194" s="4" t="s">
        <v>78</v>
      </c>
      <c r="E194" s="4">
        <v>12</v>
      </c>
      <c r="F194" s="5" t="s">
        <v>49</v>
      </c>
      <c r="G194" s="6" t="str" cm="1">
        <f t="array" ref="G194">IF(OR(BD_Versos[[#This Row],[Libro]]="",BD_Versos[[#This Row],[Capítulo]]="",BD_Versos[[#This Row],[Versículo]]=""),"",ExtraerPasaje(_xlfn.CONCAT(BD_Versos[[#This Row],[Libro]],BD_Versos[[#This Row],[Capítulo]],":",BD_Versos[[#This Row],[Versículo]])))</f>
        <v xml:space="preserve">_x000D_ _x000D_ 2 Hijo de hombre(A), habitas en medio de la casa rebelde(B); tienen ojos para ver y no ven, oídos para oír y no oyen(C), porque son una casa rebelde. _x000D_ </v>
      </c>
      <c r="H194" s="4">
        <f t="shared" si="18"/>
        <v>194</v>
      </c>
      <c r="I194" s="4">
        <f t="shared" si="19"/>
        <v>192</v>
      </c>
      <c r="J194" s="11" t="s">
        <v>305</v>
      </c>
      <c r="K194" s="4">
        <v>3661</v>
      </c>
      <c r="L194" s="4">
        <v>0</v>
      </c>
    </row>
    <row r="195" spans="1:12" ht="90" x14ac:dyDescent="0.25">
      <c r="A195" s="2">
        <f>IF(BD_Versos[[#This Row],[Tema_Principal]]="","",ROW(BD_Versos[[#This Row],[Tema_Principal]])-1)</f>
        <v>194</v>
      </c>
      <c r="B195" s="3" t="s">
        <v>291</v>
      </c>
      <c r="C195" s="2" t="s">
        <v>293</v>
      </c>
      <c r="D195" s="4" t="s">
        <v>78</v>
      </c>
      <c r="E195" s="4">
        <v>20</v>
      </c>
      <c r="F195" s="5" t="s">
        <v>118</v>
      </c>
      <c r="G195" s="6" t="str" cm="1">
        <f t="array" ref="G195">IF(OR(BD_Versos[[#This Row],[Libro]]="",BD_Versos[[#This Row],[Capítulo]]="",BD_Versos[[#This Row],[Versículo]]=""),"",ExtraerPasaje(_xlfn.CONCAT(BD_Versos[[#This Row],[Libro]],BD_Versos[[#This Row],[Capítulo]],":",BD_Versos[[#This Row],[Versículo]])))</f>
        <v xml:space="preserve">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 </v>
      </c>
      <c r="H195" s="4">
        <f t="shared" si="18"/>
        <v>195</v>
      </c>
      <c r="I195" s="4">
        <f t="shared" si="19"/>
        <v>193</v>
      </c>
      <c r="J195" s="11" t="s">
        <v>305</v>
      </c>
      <c r="K195" s="4">
        <v>3661</v>
      </c>
      <c r="L195" s="4">
        <v>0</v>
      </c>
    </row>
    <row r="196" spans="1:12" ht="45" x14ac:dyDescent="0.25">
      <c r="A196" s="2">
        <f>IF(BD_Versos[[#This Row],[Tema_Principal]]="","",ROW(BD_Versos[[#This Row],[Tema_Principal]])-1)</f>
        <v>195</v>
      </c>
      <c r="B196" s="3" t="s">
        <v>291</v>
      </c>
      <c r="C196" s="2" t="s">
        <v>293</v>
      </c>
      <c r="D196" s="4" t="s">
        <v>58</v>
      </c>
      <c r="E196" s="4">
        <v>9</v>
      </c>
      <c r="F196" s="5" t="s">
        <v>34</v>
      </c>
      <c r="G196" s="6" t="str" cm="1">
        <f t="array" ref="G196">IF(OR(BD_Versos[[#This Row],[Libro]]="",BD_Versos[[#This Row],[Capítulo]]="",BD_Versos[[#This Row],[Versículo]]=""),"",ExtraerPasaje(_xlfn.CONCAT(BD_Versos[[#This Row],[Libro]],BD_Versos[[#This Row],[Capítulo]],":",BD_Versos[[#This Row],[Versículo]])))</f>
        <v xml:space="preserve">_x000D_ _x000D_ 6 Comprende, pues, que no es por tu justicia que el Señor tu Dios te da esta buena tierra para poseerla, pues eres un pueblo de dura cerviz(A)._x000D_ </v>
      </c>
      <c r="H196" s="4">
        <f t="shared" si="18"/>
        <v>196</v>
      </c>
      <c r="I196" s="4">
        <f t="shared" si="19"/>
        <v>194</v>
      </c>
      <c r="J196" s="11" t="s">
        <v>305</v>
      </c>
      <c r="K196" s="4">
        <v>3661</v>
      </c>
      <c r="L196" s="4">
        <v>0</v>
      </c>
    </row>
    <row r="197" spans="1:12" ht="90" x14ac:dyDescent="0.25">
      <c r="A197" s="2">
        <f>IF(BD_Versos[[#This Row],[Tema_Principal]]="","",ROW(BD_Versos[[#This Row],[Tema_Principal]])-1)</f>
        <v>196</v>
      </c>
      <c r="B197" s="3" t="s">
        <v>291</v>
      </c>
      <c r="C197" s="2" t="s">
        <v>293</v>
      </c>
      <c r="D197" s="4" t="s">
        <v>135</v>
      </c>
      <c r="E197" s="4">
        <v>1</v>
      </c>
      <c r="F197" s="5" t="s">
        <v>122</v>
      </c>
      <c r="G197" s="6" t="str" cm="1">
        <f t="array" ref="G197">IF(OR(BD_Versos[[#This Row],[Libro]]="",BD_Versos[[#This Row],[Capítulo]]="",BD_Versos[[#This Row],[Versículo]]=""),"",ExtraerPasaje(_xlfn.CONCAT(BD_Versos[[#This Row],[Libro]],BD_Versos[[#This Row],[Capítulo]],":",BD_Versos[[#This Row],[Versículo]])))</f>
        <v xml:space="preserve">_x000D_ _x000D_ 4 “No seáis como vuestros padres(A), a quienes los antiguos profetas proclamaron(B), diciendo: ‘Así dice el Señor de los ejércitos: “Volveos ahora de vuestros malos caminos(C) y de vuestras malas obras”’. Pero no me escucharon ni me hicieron caso(D)” —declara el Señor. _x000D_ </v>
      </c>
      <c r="H197" s="4">
        <f t="shared" si="18"/>
        <v>197</v>
      </c>
      <c r="I197" s="4">
        <f t="shared" si="19"/>
        <v>195</v>
      </c>
      <c r="J197" s="11" t="s">
        <v>305</v>
      </c>
      <c r="K197" s="4">
        <v>3661</v>
      </c>
      <c r="L197" s="4">
        <v>0</v>
      </c>
    </row>
    <row r="198" spans="1:12" ht="45" x14ac:dyDescent="0.25">
      <c r="A198" s="2">
        <f>IF(BD_Versos[[#This Row],[Tema_Principal]]="","",ROW(BD_Versos[[#This Row],[Tema_Principal]])-1)</f>
        <v>197</v>
      </c>
      <c r="B198" s="3" t="s">
        <v>291</v>
      </c>
      <c r="C198" s="2" t="s">
        <v>293</v>
      </c>
      <c r="D198" s="4" t="s">
        <v>135</v>
      </c>
      <c r="E198" s="4">
        <v>7</v>
      </c>
      <c r="F198" s="5" t="s">
        <v>37</v>
      </c>
      <c r="G198" s="6" t="str" cm="1">
        <f t="array" ref="G198">IF(OR(BD_Versos[[#This Row],[Libro]]="",BD_Versos[[#This Row],[Capítulo]]="",BD_Versos[[#This Row],[Versículo]]=""),"",ExtraerPasaje(_xlfn.CONCAT(BD_Versos[[#This Row],[Libro]],BD_Versos[[#This Row],[Capítulo]],":",BD_Versos[[#This Row],[Versículo]])))</f>
        <v xml:space="preserve">_x000D_ _x000D_ 11 Pero ellos rehusaron escuchar y volvieron la espalda[a] rebelde(A) y se taparon[b] los oídos para no oír(B). _x000D_ </v>
      </c>
      <c r="H198" s="4">
        <f t="shared" si="18"/>
        <v>198</v>
      </c>
      <c r="I198" s="4">
        <f t="shared" si="19"/>
        <v>196</v>
      </c>
      <c r="J198" s="11" t="s">
        <v>305</v>
      </c>
      <c r="K198" s="4">
        <v>3661</v>
      </c>
      <c r="L198" s="4">
        <v>0</v>
      </c>
    </row>
    <row r="199" spans="1:12" ht="90" x14ac:dyDescent="0.25">
      <c r="A199" s="2">
        <f>IF(BD_Versos[[#This Row],[Tema_Principal]]="","",ROW(BD_Versos[[#This Row],[Tema_Principal]])-1)</f>
        <v>198</v>
      </c>
      <c r="B199" s="3" t="s">
        <v>291</v>
      </c>
      <c r="C199" s="2" t="s">
        <v>293</v>
      </c>
      <c r="D199" s="4" t="s">
        <v>306</v>
      </c>
      <c r="E199" s="4">
        <v>2</v>
      </c>
      <c r="F199" s="5" t="s">
        <v>49</v>
      </c>
      <c r="G199" s="6" t="str" cm="1">
        <f t="array" ref="G199">IF(OR(BD_Versos[[#This Row],[Libro]]="",BD_Versos[[#This Row],[Capítulo]]="",BD_Versos[[#This Row],[Versículo]]=""),"",ExtraerPasaje(_xlfn.CONCAT(BD_Versos[[#This Row],[Libro]],BD_Versos[[#This Row],[Capítulo]],":",BD_Versos[[#This Row],[Versículo]])))</f>
        <v xml:space="preserve">_x000D_ _x000D_ 2 Si no escucháis, y si no decidís de corazón dar honor a mi nombre —dice el Señor(A) de los ejércitos— enviaré sobre vosotros maldición(B), y maldeciré vuestras bendiciones; y en verdad, ya las he maldecido(C), porque no lo habéis decidido de corazón. _x000D_ </v>
      </c>
      <c r="H199" s="4">
        <f t="shared" si="18"/>
        <v>199</v>
      </c>
      <c r="I199" s="4">
        <f t="shared" si="19"/>
        <v>197</v>
      </c>
      <c r="J199" s="11" t="s">
        <v>305</v>
      </c>
      <c r="K199" s="4">
        <v>3661</v>
      </c>
      <c r="L199" s="4">
        <v>0</v>
      </c>
    </row>
    <row r="200" spans="1:12" ht="30" x14ac:dyDescent="0.25">
      <c r="A200" s="2">
        <f>IF(BD_Versos[[#This Row],[Tema_Principal]]="","",ROW(BD_Versos[[#This Row],[Tema_Principal]])-1)</f>
        <v>199</v>
      </c>
      <c r="B200" s="3" t="s">
        <v>291</v>
      </c>
      <c r="C200" s="2" t="s">
        <v>293</v>
      </c>
      <c r="D200" s="4" t="s">
        <v>50</v>
      </c>
      <c r="E200" s="4">
        <v>13</v>
      </c>
      <c r="F200" s="5" t="s">
        <v>113</v>
      </c>
      <c r="G200" s="6" t="str" cm="1">
        <f t="array" ref="G200">IF(OR(BD_Versos[[#This Row],[Libro]]="",BD_Versos[[#This Row],[Capítulo]]="",BD_Versos[[#This Row],[Versículo]]=""),"",ExtraerPasaje(_xlfn.CONCAT(BD_Versos[[#This Row],[Libro]],BD_Versos[[#This Row],[Capítulo]],":",BD_Versos[[#This Row],[Versículo]])))</f>
        <v xml:space="preserve">_x000D_ _x000D_ 13 Por eso les hablo en parábolas; porque viendo no ven, y oyendo no oyen ni entienden(A). _x000D_ </v>
      </c>
      <c r="H200" s="4">
        <f t="shared" si="18"/>
        <v>200</v>
      </c>
      <c r="I200" s="4">
        <f t="shared" si="19"/>
        <v>198</v>
      </c>
      <c r="J200" s="11" t="s">
        <v>305</v>
      </c>
      <c r="K200" s="4">
        <v>3661</v>
      </c>
      <c r="L200" s="4">
        <v>0</v>
      </c>
    </row>
    <row r="201" spans="1:12" ht="75" x14ac:dyDescent="0.25">
      <c r="A201" s="2">
        <f>IF(BD_Versos[[#This Row],[Tema_Principal]]="","",ROW(BD_Versos[[#This Row],[Tema_Principal]])-1)</f>
        <v>200</v>
      </c>
      <c r="B201" s="3" t="s">
        <v>291</v>
      </c>
      <c r="C201" s="2" t="s">
        <v>293</v>
      </c>
      <c r="D201" s="4" t="s">
        <v>50</v>
      </c>
      <c r="E201" s="4">
        <v>13</v>
      </c>
      <c r="F201" s="5" t="s">
        <v>31</v>
      </c>
      <c r="G201" s="6" t="str" cm="1">
        <f t="array" ref="G201">IF(OR(BD_Versos[[#This Row],[Libro]]="",BD_Versos[[#This Row],[Capítulo]]="",BD_Versos[[#This Row],[Versículo]]=""),"",ExtraerPasaje(_xlfn.CONCAT(BD_Versos[[#This Row],[Libro]],BD_Versos[[#This Row],[Capítulo]],":",BD_Versos[[#This Row],[Versículo]])))</f>
        <v xml:space="preserve">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 </v>
      </c>
      <c r="H201" s="4">
        <f t="shared" si="18"/>
        <v>201</v>
      </c>
      <c r="I201" s="4">
        <f t="shared" si="19"/>
        <v>199</v>
      </c>
      <c r="J201" s="11" t="s">
        <v>305</v>
      </c>
      <c r="K201" s="4">
        <v>3661</v>
      </c>
      <c r="L201" s="4">
        <v>0</v>
      </c>
    </row>
    <row r="202" spans="1:12" ht="60" x14ac:dyDescent="0.25">
      <c r="A202" s="2">
        <f>IF(BD_Versos[[#This Row],[Tema_Principal]]="","",ROW(BD_Versos[[#This Row],[Tema_Principal]])-1)</f>
        <v>201</v>
      </c>
      <c r="B202" s="3" t="s">
        <v>291</v>
      </c>
      <c r="C202" s="2" t="s">
        <v>293</v>
      </c>
      <c r="D202" s="4" t="s">
        <v>30</v>
      </c>
      <c r="E202" s="4">
        <v>6</v>
      </c>
      <c r="F202" s="5" t="s">
        <v>37</v>
      </c>
      <c r="G202" s="6" t="str" cm="1">
        <f t="array" ref="G202">IF(OR(BD_Versos[[#This Row],[Libro]]="",BD_Versos[[#This Row],[Capítulo]]="",BD_Versos[[#This Row],[Versículo]]=""),"",ExtraerPasaje(_xlfn.CONCAT(BD_Versos[[#This Row],[Libro]],BD_Versos[[#This Row],[Capítulo]],":",BD_Versos[[#This Row],[Versículo]])))</f>
        <v xml:space="preserve">_x000D_ _x000D_ 11 Y en cualquier lugar que no os reciban ni os escuchen, al salir de allí, sacudid el polvo de la planta[a] de vuestros pies(A) en testimonio contra ellos. _x000D_ </v>
      </c>
      <c r="H202" s="4">
        <f t="shared" si="18"/>
        <v>202</v>
      </c>
      <c r="I202" s="4">
        <f t="shared" si="19"/>
        <v>200</v>
      </c>
      <c r="J202" s="11" t="s">
        <v>305</v>
      </c>
      <c r="K202" s="4">
        <v>3661</v>
      </c>
      <c r="L202" s="4">
        <v>0</v>
      </c>
    </row>
    <row r="203" spans="1:12" ht="30" x14ac:dyDescent="0.25">
      <c r="A203" s="2">
        <f>IF(BD_Versos[[#This Row],[Tema_Principal]]="","",ROW(BD_Versos[[#This Row],[Tema_Principal]])-1)</f>
        <v>202</v>
      </c>
      <c r="B203" s="3" t="s">
        <v>291</v>
      </c>
      <c r="C203" s="2" t="s">
        <v>293</v>
      </c>
      <c r="D203" s="4" t="s">
        <v>30</v>
      </c>
      <c r="E203" s="4">
        <v>8</v>
      </c>
      <c r="F203" s="5" t="s">
        <v>108</v>
      </c>
      <c r="G203" s="6" t="str" cm="1">
        <f t="array" ref="G203">IF(OR(BD_Versos[[#This Row],[Libro]]="",BD_Versos[[#This Row],[Capítulo]]="",BD_Versos[[#This Row],[Versículo]]=""),"",ExtraerPasaje(_xlfn.CONCAT(BD_Versos[[#This Row],[Libro]],BD_Versos[[#This Row],[Capítulo]],":",BD_Versos[[#This Row],[Versículo]])))</f>
        <v xml:space="preserve">_x000D_ _x000D_ 18 Teniendo ojos, ¿no veis? Y teniendo oídos, ¿no oís(A)? ¿No recordáis _x000D_ </v>
      </c>
      <c r="H203" s="4">
        <f t="shared" si="18"/>
        <v>203</v>
      </c>
      <c r="I203" s="4">
        <f t="shared" si="19"/>
        <v>201</v>
      </c>
      <c r="J203" s="11" t="s">
        <v>305</v>
      </c>
      <c r="K203" s="4">
        <v>3661</v>
      </c>
      <c r="L203" s="4">
        <v>0</v>
      </c>
    </row>
    <row r="204" spans="1:12" ht="30" x14ac:dyDescent="0.25">
      <c r="A204" s="2">
        <f>IF(BD_Versos[[#This Row],[Tema_Principal]]="","",ROW(BD_Versos[[#This Row],[Tema_Principal]])-1)</f>
        <v>203</v>
      </c>
      <c r="B204" s="3" t="s">
        <v>291</v>
      </c>
      <c r="C204" s="2" t="s">
        <v>293</v>
      </c>
      <c r="D204" s="4" t="s">
        <v>91</v>
      </c>
      <c r="E204" s="4">
        <v>8</v>
      </c>
      <c r="F204" s="5" t="s">
        <v>297</v>
      </c>
      <c r="G204" s="6" t="str" cm="1">
        <f t="array" ref="G204">IF(OR(BD_Versos[[#This Row],[Libro]]="",BD_Versos[[#This Row],[Capítulo]]="",BD_Versos[[#This Row],[Versículo]]=""),"",ExtraerPasaje(_xlfn.CONCAT(BD_Versos[[#This Row],[Libro]],BD_Versos[[#This Row],[Capítulo]],":",BD_Versos[[#This Row],[Versículo]])))</f>
        <v xml:space="preserve">_x000D_ _x000D_ 43 ¿Por qué no entendéis lo que digo[a](A)? Porque no podéis oír mi palabra(B). _x000D_ </v>
      </c>
      <c r="H204" s="4">
        <f t="shared" si="18"/>
        <v>204</v>
      </c>
      <c r="I204" s="4">
        <f t="shared" si="19"/>
        <v>202</v>
      </c>
      <c r="J204" s="11" t="s">
        <v>305</v>
      </c>
      <c r="K204" s="4">
        <v>3661</v>
      </c>
      <c r="L204" s="4">
        <v>0</v>
      </c>
    </row>
    <row r="205" spans="1:12" ht="45" x14ac:dyDescent="0.25">
      <c r="A205" s="2">
        <f>IF(BD_Versos[[#This Row],[Tema_Principal]]="","",ROW(BD_Versos[[#This Row],[Tema_Principal]])-1)</f>
        <v>204</v>
      </c>
      <c r="B205" s="3" t="s">
        <v>291</v>
      </c>
      <c r="C205" s="2" t="s">
        <v>293</v>
      </c>
      <c r="D205" s="4" t="s">
        <v>91</v>
      </c>
      <c r="E205" s="4">
        <v>8</v>
      </c>
      <c r="F205" s="5" t="s">
        <v>307</v>
      </c>
      <c r="G205" s="6" t="str" cm="1">
        <f t="array" ref="G205">IF(OR(BD_Versos[[#This Row],[Libro]]="",BD_Versos[[#This Row],[Capítulo]]="",BD_Versos[[#This Row],[Versículo]]=""),"",ExtraerPasaje(_xlfn.CONCAT(BD_Versos[[#This Row],[Libro]],BD_Versos[[#This Row],[Capítulo]],":",BD_Versos[[#This Row],[Versículo]])))</f>
        <v xml:space="preserve">_x000D_ _x000D_ 47 El que es de Dios escucha las palabras de Dios; por eso vosotros no escucháis, porque no sois de Dios(A)._x000D_ </v>
      </c>
      <c r="H205" s="4">
        <f t="shared" si="18"/>
        <v>205</v>
      </c>
      <c r="I205" s="4">
        <f t="shared" si="19"/>
        <v>203</v>
      </c>
      <c r="J205" s="11" t="s">
        <v>305</v>
      </c>
      <c r="K205" s="4">
        <v>3661</v>
      </c>
      <c r="L205" s="4">
        <v>0</v>
      </c>
    </row>
    <row r="206" spans="1:12" ht="45" x14ac:dyDescent="0.25">
      <c r="A206" s="2">
        <f>IF(BD_Versos[[#This Row],[Tema_Principal]]="","",ROW(BD_Versos[[#This Row],[Tema_Principal]])-1)</f>
        <v>205</v>
      </c>
      <c r="B206" s="3" t="s">
        <v>291</v>
      </c>
      <c r="C206" s="2" t="s">
        <v>293</v>
      </c>
      <c r="D206" s="4" t="s">
        <v>91</v>
      </c>
      <c r="E206" s="4">
        <v>12</v>
      </c>
      <c r="F206" s="5" t="s">
        <v>111</v>
      </c>
      <c r="G206" s="6" t="str" cm="1">
        <f t="array" ref="G206">IF(OR(BD_Versos[[#This Row],[Libro]]="",BD_Versos[[#This Row],[Capítulo]]="",BD_Versos[[#This Row],[Versículo]]=""),"",ExtraerPasaje(_xlfn.CONCAT(BD_Versos[[#This Row],[Libro]],BD_Versos[[#This Row],[Capítulo]],":",BD_Versos[[#This Row],[Versículo]])))</f>
        <v xml:space="preserve">_x000D_ _x000D_ 29 Por eso la multitud que estaba allí y la oyó, decía que había sido un trueno; otros decían: Un ángel le ha hablado(A). _x000D_ </v>
      </c>
      <c r="H206" s="4">
        <f t="shared" si="18"/>
        <v>206</v>
      </c>
      <c r="I206" s="4">
        <f t="shared" si="19"/>
        <v>204</v>
      </c>
      <c r="J206" s="11" t="s">
        <v>305</v>
      </c>
      <c r="K206" s="4">
        <v>3661</v>
      </c>
      <c r="L206" s="4">
        <v>0</v>
      </c>
    </row>
    <row r="207" spans="1:12" ht="45" x14ac:dyDescent="0.25">
      <c r="A207" s="2">
        <f>IF(BD_Versos[[#This Row],[Tema_Principal]]="","",ROW(BD_Versos[[#This Row],[Tema_Principal]])-1)</f>
        <v>206</v>
      </c>
      <c r="B207" s="3" t="s">
        <v>291</v>
      </c>
      <c r="C207" s="2" t="s">
        <v>293</v>
      </c>
      <c r="D207" s="4" t="s">
        <v>13</v>
      </c>
      <c r="E207" s="4">
        <v>3</v>
      </c>
      <c r="F207" s="5" t="s">
        <v>298</v>
      </c>
      <c r="G207" s="6" t="str" cm="1">
        <f t="array" ref="G207">IF(OR(BD_Versos[[#This Row],[Libro]]="",BD_Versos[[#This Row],[Capítulo]]="",BD_Versos[[#This Row],[Versículo]]=""),"",ExtraerPasaje(_xlfn.CONCAT(BD_Versos[[#This Row],[Libro]],BD_Versos[[#This Row],[Capítulo]],":",BD_Versos[[#This Row],[Versículo]])))</f>
        <v xml:space="preserve">_x000D_ _x000D_ 23 Y sucederá que todo el que[a](A) no preste atención a aquel profeta, será totalmente destruido de entre el pueblo. _x000D_ </v>
      </c>
      <c r="H207" s="4">
        <f t="shared" si="18"/>
        <v>207</v>
      </c>
      <c r="I207" s="4">
        <f t="shared" si="19"/>
        <v>205</v>
      </c>
      <c r="J207" s="11" t="s">
        <v>305</v>
      </c>
      <c r="K207" s="4">
        <v>3661</v>
      </c>
      <c r="L207" s="4">
        <v>0</v>
      </c>
    </row>
    <row r="208" spans="1:12" ht="30" x14ac:dyDescent="0.25">
      <c r="A208" s="2">
        <f>IF(BD_Versos[[#This Row],[Tema_Principal]]="","",ROW(BD_Versos[[#This Row],[Tema_Principal]])-1)</f>
        <v>207</v>
      </c>
      <c r="B208" s="3" t="s">
        <v>291</v>
      </c>
      <c r="C208" s="2" t="s">
        <v>293</v>
      </c>
      <c r="D208" s="4" t="s">
        <v>13</v>
      </c>
      <c r="E208" s="4">
        <v>7</v>
      </c>
      <c r="F208" s="5" t="s">
        <v>308</v>
      </c>
      <c r="G208" s="6" t="str" cm="1">
        <f t="array" ref="G208">IF(OR(BD_Versos[[#This Row],[Libro]]="",BD_Versos[[#This Row],[Capítulo]]="",BD_Versos[[#This Row],[Versículo]]=""),"",ExtraerPasaje(_xlfn.CONCAT(BD_Versos[[#This Row],[Libro]],BD_Versos[[#This Row],[Capítulo]],":",BD_Versos[[#This Row],[Versículo]])))</f>
        <v xml:space="preserve">_x000D_ _x000D_ 57 Entonces ellos gritaron a gran voz, y tapándose los oídos arremetieron a una contra él. _x000D_ </v>
      </c>
      <c r="H208" s="4">
        <f t="shared" si="18"/>
        <v>208</v>
      </c>
      <c r="I208" s="4">
        <f t="shared" si="19"/>
        <v>206</v>
      </c>
      <c r="J208" s="11" t="s">
        <v>305</v>
      </c>
      <c r="K208" s="4">
        <v>3661</v>
      </c>
      <c r="L208" s="4">
        <v>0</v>
      </c>
    </row>
    <row r="209" spans="1:12" ht="30" x14ac:dyDescent="0.25">
      <c r="A209" s="2">
        <f>IF(BD_Versos[[#This Row],[Tema_Principal]]="","",ROW(BD_Versos[[#This Row],[Tema_Principal]])-1)</f>
        <v>208</v>
      </c>
      <c r="B209" s="3" t="s">
        <v>291</v>
      </c>
      <c r="C209" s="2" t="s">
        <v>293</v>
      </c>
      <c r="D209" s="4" t="s">
        <v>13</v>
      </c>
      <c r="E209" s="4">
        <v>28</v>
      </c>
      <c r="F209" s="5" t="s">
        <v>51</v>
      </c>
      <c r="G209" s="6" t="str" cm="1">
        <f t="array" ref="G209">IF(OR(BD_Versos[[#This Row],[Libro]]="",BD_Versos[[#This Row],[Capítulo]]="",BD_Versos[[#This Row],[Versículo]]=""),"",ExtraerPasaje(_xlfn.CONCAT(BD_Versos[[#This Row],[Libro]],BD_Versos[[#This Row],[Capítulo]],":",BD_Versos[[#This Row],[Versículo]])))</f>
        <v xml:space="preserve">_x000D_ _x000D_ 26 diciendo:_x000D_ _x000D_ _x000D_ Ve a este pueblo y di:_x000D_ «Al oír oiréis, y no entenderéis;_x000D_ y viendo veréis, y no percibiréis(A);_x000D_ </v>
      </c>
      <c r="H209" s="4">
        <f t="shared" si="18"/>
        <v>209</v>
      </c>
      <c r="I209" s="4">
        <f t="shared" si="19"/>
        <v>207</v>
      </c>
      <c r="J209" s="11" t="s">
        <v>305</v>
      </c>
      <c r="K209" s="4">
        <v>3661</v>
      </c>
      <c r="L209" s="4">
        <v>0</v>
      </c>
    </row>
    <row r="210" spans="1:12" ht="45" x14ac:dyDescent="0.25">
      <c r="A210" s="2">
        <f>IF(BD_Versos[[#This Row],[Tema_Principal]]="","",ROW(BD_Versos[[#This Row],[Tema_Principal]])-1)</f>
        <v>209</v>
      </c>
      <c r="B210" s="3" t="s">
        <v>291</v>
      </c>
      <c r="C210" s="2" t="s">
        <v>293</v>
      </c>
      <c r="D210" s="4" t="s">
        <v>92</v>
      </c>
      <c r="E210" s="4">
        <v>11</v>
      </c>
      <c r="F210" s="5" t="s">
        <v>118</v>
      </c>
      <c r="G210" s="6" t="str" cm="1">
        <f t="array" ref="G210">IF(OR(BD_Versos[[#This Row],[Libro]]="",BD_Versos[[#This Row],[Capítulo]]="",BD_Versos[[#This Row],[Versículo]]=""),"",ExtraerPasaje(_xlfn.CONCAT(BD_Versos[[#This Row],[Libro]],BD_Versos[[#This Row],[Capítulo]],":",BD_Versos[[#This Row],[Versículo]])))</f>
        <v xml:space="preserve">_x000D_ _x000D_ 8 tal como está escrito:_x000D_ _x000D_ _x000D_ Dios les dio un espíritu de estupor, ojos con que no ven y oídos con que no oyen, hasta el día de hoy(A)._x000D_ </v>
      </c>
      <c r="H210" s="4">
        <f t="shared" si="18"/>
        <v>210</v>
      </c>
      <c r="I210" s="4">
        <f t="shared" si="19"/>
        <v>208</v>
      </c>
      <c r="J210" s="11" t="s">
        <v>305</v>
      </c>
      <c r="K210" s="4">
        <v>3661</v>
      </c>
      <c r="L210" s="4">
        <v>0</v>
      </c>
    </row>
    <row r="211" spans="1:12" ht="60" x14ac:dyDescent="0.25">
      <c r="A211" s="2">
        <f>IF(BD_Versos[[#This Row],[Tema_Principal]]="","",ROW(BD_Versos[[#This Row],[Tema_Principal]])-1)</f>
        <v>210</v>
      </c>
      <c r="B211" s="3" t="s">
        <v>291</v>
      </c>
      <c r="C211" s="2" t="s">
        <v>293</v>
      </c>
      <c r="D211" s="4" t="s">
        <v>15</v>
      </c>
      <c r="E211" s="4">
        <v>14</v>
      </c>
      <c r="F211" s="5" t="s">
        <v>123</v>
      </c>
      <c r="G211" s="6" t="str" cm="1">
        <f t="array" ref="G211">IF(OR(BD_Versos[[#This Row],[Libro]]="",BD_Versos[[#This Row],[Capítulo]]="",BD_Versos[[#This Row],[Versículo]]=""),"",ExtraerPasaje(_xlfn.CONCAT(BD_Versos[[#This Row],[Libro]],BD_Versos[[#This Row],[Capítulo]],":",BD_Versos[[#This Row],[Versículo]])))</f>
        <v xml:space="preserve">_x000D_ _x000D_ 21 En la ley(A) está escrito: Por hombres de lenguas extrañas y por boca[a] de extraños hablaré a este pueblo, y ni aun así me escucharán(B), dice el Señor. _x000D_ </v>
      </c>
      <c r="H211" s="4">
        <f t="shared" si="18"/>
        <v>211</v>
      </c>
      <c r="I211" s="4">
        <f t="shared" si="19"/>
        <v>209</v>
      </c>
      <c r="J211" s="11" t="s">
        <v>305</v>
      </c>
      <c r="K211" s="4">
        <v>3661</v>
      </c>
      <c r="L211" s="4">
        <v>0</v>
      </c>
    </row>
    <row r="212" spans="1:12" ht="30" x14ac:dyDescent="0.25">
      <c r="A212" s="2">
        <f>IF(BD_Versos[[#This Row],[Tema_Principal]]="","",ROW(BD_Versos[[#This Row],[Tema_Principal]])-1)</f>
        <v>211</v>
      </c>
      <c r="B212" s="3" t="s">
        <v>291</v>
      </c>
      <c r="C212" s="2" t="s">
        <v>293</v>
      </c>
      <c r="D212" s="4" t="s">
        <v>23</v>
      </c>
      <c r="E212" s="4">
        <v>4</v>
      </c>
      <c r="F212" s="5" t="s">
        <v>122</v>
      </c>
      <c r="G212" s="6" t="str" cm="1">
        <f t="array" ref="G212">IF(OR(BD_Versos[[#This Row],[Libro]]="",BD_Versos[[#This Row],[Capítulo]]="",BD_Versos[[#This Row],[Versículo]]=""),"",ExtraerPasaje(_xlfn.CONCAT(BD_Versos[[#This Row],[Libro]],BD_Versos[[#This Row],[Capítulo]],":",BD_Versos[[#This Row],[Versículo]])))</f>
        <v xml:space="preserve">_x000D_ _x000D_ 4 y apartarán sus oídos de la verdad(A), y se volverán a mitos[a](B). _x000D_ </v>
      </c>
      <c r="H212" s="4">
        <f t="shared" si="18"/>
        <v>212</v>
      </c>
      <c r="I212" s="4">
        <f t="shared" si="19"/>
        <v>210</v>
      </c>
      <c r="J212" s="11" t="s">
        <v>305</v>
      </c>
      <c r="K212" s="4">
        <v>3661</v>
      </c>
      <c r="L212" s="4">
        <v>0</v>
      </c>
    </row>
    <row r="213" spans="1:12" ht="60" x14ac:dyDescent="0.25">
      <c r="A213" s="2">
        <f>IF(BD_Versos[[#This Row],[Tema_Principal]]="","",ROW(BD_Versos[[#This Row],[Tema_Principal]])-1)</f>
        <v>212</v>
      </c>
      <c r="B213" s="3" t="s">
        <v>291</v>
      </c>
      <c r="C213" s="2" t="s">
        <v>293</v>
      </c>
      <c r="D213" s="4" t="s">
        <v>102</v>
      </c>
      <c r="E213" s="4">
        <v>4</v>
      </c>
      <c r="F213" s="5" t="s">
        <v>34</v>
      </c>
      <c r="G213" s="6" t="str" cm="1">
        <f t="array" ref="G213">IF(OR(BD_Versos[[#This Row],[Libro]]="",BD_Versos[[#This Row],[Capítulo]]="",BD_Versos[[#This Row],[Versículo]]=""),"",ExtraerPasaje(_xlfn.CONCAT(BD_Versos[[#This Row],[Libro]],BD_Versos[[#This Row],[Capítulo]],":",BD_Versos[[#This Row],[Versículo]])))</f>
        <v xml:space="preserve">_x000D_ _x000D_ 6 Nosotros somos de Dios(A); el que conoce a Dios, nos oye(B); el que no es de Dios, no nos oye(C). En esto conocemos el espíritu de la verdad(D) y el espíritu del error(E)._x000D_ </v>
      </c>
      <c r="I213" s="4">
        <f t="shared" si="19"/>
        <v>211</v>
      </c>
      <c r="J213" s="11" t="s">
        <v>305</v>
      </c>
      <c r="K213" s="4">
        <v>3661</v>
      </c>
      <c r="L213" s="4">
        <v>0</v>
      </c>
    </row>
    <row r="214" spans="1:12" x14ac:dyDescent="0.25">
      <c r="A214" s="2" t="str">
        <f>IF(BD_Versos[[#This Row],[Tema_Principal]]="","",ROW(BD_Versos[[#This Row],[Tema_Principal]])-1)</f>
        <v/>
      </c>
      <c r="G214" s="6" t="str" cm="1">
        <f t="array" ref="G214">IF(OR(BD_Versos[[#This Row],[Libro]]="",BD_Versos[[#This Row],[Capítulo]]="",BD_Versos[[#This Row],[Versículo]]=""),"",ExtraerPasaje(_xlfn.CONCAT(BD_Versos[[#This Row],[Libro]],BD_Versos[[#This Row],[Capítulo]],":",BD_Versos[[#This Row],[Versículo]])))</f>
        <v/>
      </c>
      <c r="J214" s="4"/>
      <c r="K214" s="4"/>
      <c r="L214" s="4"/>
    </row>
    <row r="215" spans="1:12" x14ac:dyDescent="0.25">
      <c r="A215" s="2" t="str">
        <f>IF(BD_Versos[[#This Row],[Tema_Principal]]="","",ROW(BD_Versos[[#This Row],[Tema_Principal]])-1)</f>
        <v/>
      </c>
      <c r="G215" s="6" t="str" cm="1">
        <f t="array" ref="G215">IF(OR(BD_Versos[[#This Row],[Libro]]="",BD_Versos[[#This Row],[Capítulo]]="",BD_Versos[[#This Row],[Versículo]]=""),"",ExtraerPasaje(_xlfn.CONCAT(BD_Versos[[#This Row],[Libro]],BD_Versos[[#This Row],[Capítulo]],":",BD_Versos[[#This Row],[Versículo]])))</f>
        <v/>
      </c>
      <c r="J215" s="4"/>
      <c r="K215" s="4"/>
      <c r="L215" s="4"/>
    </row>
    <row r="216" spans="1:12" x14ac:dyDescent="0.25">
      <c r="A216" s="2" t="str">
        <f>IF(BD_Versos[[#This Row],[Tema_Principal]]="","",ROW(BD_Versos[[#This Row],[Tema_Principal]])-1)</f>
        <v/>
      </c>
      <c r="G216" s="6" t="str" cm="1">
        <f t="array" ref="G216">IF(OR(BD_Versos[[#This Row],[Libro]]="",BD_Versos[[#This Row],[Capítulo]]="",BD_Versos[[#This Row],[Versículo]]=""),"",ExtraerPasaje(_xlfn.CONCAT(BD_Versos[[#This Row],[Libro]],BD_Versos[[#This Row],[Capítulo]],":",BD_Versos[[#This Row],[Versículo]])))</f>
        <v/>
      </c>
      <c r="J216" s="4"/>
      <c r="K216" s="4"/>
      <c r="L216" s="4"/>
    </row>
    <row r="217" spans="1:12" x14ac:dyDescent="0.25">
      <c r="A217" s="2" t="str">
        <f>IF(BD_Versos[[#This Row],[Tema_Principal]]="","",ROW(BD_Versos[[#This Row],[Tema_Principal]])-1)</f>
        <v/>
      </c>
      <c r="G217" s="6" t="str" cm="1">
        <f t="array" ref="G217">IF(OR(BD_Versos[[#This Row],[Libro]]="",BD_Versos[[#This Row],[Capítulo]]="",BD_Versos[[#This Row],[Versículo]]=""),"",ExtraerPasaje(_xlfn.CONCAT(BD_Versos[[#This Row],[Libro]],BD_Versos[[#This Row],[Capítulo]],":",BD_Versos[[#This Row],[Versículo]])))</f>
        <v/>
      </c>
      <c r="J217" s="4"/>
      <c r="K217" s="4"/>
      <c r="L217" s="4"/>
    </row>
    <row r="218" spans="1:12" x14ac:dyDescent="0.25">
      <c r="A218" s="2" t="str">
        <f>IF(BD_Versos[[#This Row],[Tema_Principal]]="","",ROW(BD_Versos[[#This Row],[Tema_Principal]])-1)</f>
        <v/>
      </c>
      <c r="G218" s="6" t="str" cm="1">
        <f t="array" ref="G218">IF(OR(BD_Versos[[#This Row],[Libro]]="",BD_Versos[[#This Row],[Capítulo]]="",BD_Versos[[#This Row],[Versículo]]=""),"",ExtraerPasaje(_xlfn.CONCAT(BD_Versos[[#This Row],[Libro]],BD_Versos[[#This Row],[Capítulo]],":",BD_Versos[[#This Row],[Versículo]])))</f>
        <v/>
      </c>
      <c r="J218" s="4"/>
      <c r="K218" s="4"/>
      <c r="L218" s="4"/>
    </row>
    <row r="219" spans="1:12" x14ac:dyDescent="0.25">
      <c r="A219" s="2" t="str">
        <f>IF(BD_Versos[[#This Row],[Tema_Principal]]="","",ROW(BD_Versos[[#This Row],[Tema_Principal]])-1)</f>
        <v/>
      </c>
      <c r="G219" s="6" t="str" cm="1">
        <f t="array" ref="G219">IF(OR(BD_Versos[[#This Row],[Libro]]="",BD_Versos[[#This Row],[Capítulo]]="",BD_Versos[[#This Row],[Versículo]]=""),"",ExtraerPasaje(_xlfn.CONCAT(BD_Versos[[#This Row],[Libro]],BD_Versos[[#This Row],[Capítulo]],":",BD_Versos[[#This Row],[Versículo]])))</f>
        <v/>
      </c>
      <c r="J219" s="4"/>
      <c r="K219" s="4"/>
      <c r="L219" s="4"/>
    </row>
    <row r="220" spans="1:12" x14ac:dyDescent="0.25">
      <c r="A220" s="2" t="str">
        <f>IF(BD_Versos[[#This Row],[Tema_Principal]]="","",ROW(BD_Versos[[#This Row],[Tema_Principal]])-1)</f>
        <v/>
      </c>
      <c r="G220" s="6" t="str" cm="1">
        <f t="array" ref="G220">IF(OR(BD_Versos[[#This Row],[Libro]]="",BD_Versos[[#This Row],[Capítulo]]="",BD_Versos[[#This Row],[Versículo]]=""),"",ExtraerPasaje(_xlfn.CONCAT(BD_Versos[[#This Row],[Libro]],BD_Versos[[#This Row],[Capítulo]],":",BD_Versos[[#This Row],[Versículo]])))</f>
        <v/>
      </c>
      <c r="J220" s="4"/>
      <c r="K220" s="4"/>
      <c r="L220" s="4"/>
    </row>
    <row r="221" spans="1:12" x14ac:dyDescent="0.25">
      <c r="A221" s="2" t="str">
        <f>IF(BD_Versos[[#This Row],[Tema_Principal]]="","",ROW(BD_Versos[[#This Row],[Tema_Principal]])-1)</f>
        <v/>
      </c>
      <c r="G221" s="6" t="str" cm="1">
        <f t="array" ref="G221">IF(OR(BD_Versos[[#This Row],[Libro]]="",BD_Versos[[#This Row],[Capítulo]]="",BD_Versos[[#This Row],[Versículo]]=""),"",ExtraerPasaje(_xlfn.CONCAT(BD_Versos[[#This Row],[Libro]],BD_Versos[[#This Row],[Capítulo]],":",BD_Versos[[#This Row],[Versículo]])))</f>
        <v/>
      </c>
      <c r="J221" s="4"/>
      <c r="K221" s="4"/>
      <c r="L221" s="4"/>
    </row>
    <row r="222" spans="1:12" x14ac:dyDescent="0.25">
      <c r="A222" s="2" t="str">
        <f>IF(BD_Versos[[#This Row],[Tema_Principal]]="","",ROW(BD_Versos[[#This Row],[Tema_Principal]])-1)</f>
        <v/>
      </c>
      <c r="G222" s="6" t="str" cm="1">
        <f t="array" ref="G222">IF(OR(BD_Versos[[#This Row],[Libro]]="",BD_Versos[[#This Row],[Capítulo]]="",BD_Versos[[#This Row],[Versículo]]=""),"",ExtraerPasaje(_xlfn.CONCAT(BD_Versos[[#This Row],[Libro]],BD_Versos[[#This Row],[Capítulo]],":",BD_Versos[[#This Row],[Versículo]])))</f>
        <v/>
      </c>
      <c r="J222" s="4"/>
      <c r="K222" s="4"/>
      <c r="L222" s="4"/>
    </row>
    <row r="223" spans="1:12" x14ac:dyDescent="0.25">
      <c r="A223" s="2" t="str">
        <f>IF(BD_Versos[[#This Row],[Tema_Principal]]="","",ROW(BD_Versos[[#This Row],[Tema_Principal]])-1)</f>
        <v/>
      </c>
      <c r="G223" s="6" t="str" cm="1">
        <f t="array" ref="G223">IF(OR(BD_Versos[[#This Row],[Libro]]="",BD_Versos[[#This Row],[Capítulo]]="",BD_Versos[[#This Row],[Versículo]]=""),"",ExtraerPasaje(_xlfn.CONCAT(BD_Versos[[#This Row],[Libro]],BD_Versos[[#This Row],[Capítulo]],":",BD_Versos[[#This Row],[Versículo]])))</f>
        <v/>
      </c>
      <c r="J223" s="4"/>
      <c r="K223" s="4"/>
      <c r="L223" s="4"/>
    </row>
    <row r="224" spans="1:12" x14ac:dyDescent="0.25">
      <c r="A224" s="2" t="str">
        <f>IF(BD_Versos[[#This Row],[Tema_Principal]]="","",ROW(BD_Versos[[#This Row],[Tema_Principal]])-1)</f>
        <v/>
      </c>
      <c r="G224" s="6" t="str" cm="1">
        <f t="array" ref="G224">IF(OR(BD_Versos[[#This Row],[Libro]]="",BD_Versos[[#This Row],[Capítulo]]="",BD_Versos[[#This Row],[Versículo]]=""),"",ExtraerPasaje(_xlfn.CONCAT(BD_Versos[[#This Row],[Libro]],BD_Versos[[#This Row],[Capítulo]],":",BD_Versos[[#This Row],[Versículo]])))</f>
        <v/>
      </c>
      <c r="J224" s="4"/>
      <c r="K224" s="4"/>
      <c r="L224" s="4"/>
    </row>
    <row r="225" spans="1:12" x14ac:dyDescent="0.25">
      <c r="A225" s="2" t="str">
        <f>IF(BD_Versos[[#This Row],[Tema_Principal]]="","",ROW(BD_Versos[[#This Row],[Tema_Principal]])-1)</f>
        <v/>
      </c>
      <c r="G225" s="6" t="str" cm="1">
        <f t="array" ref="G225">IF(OR(BD_Versos[[#This Row],[Libro]]="",BD_Versos[[#This Row],[Capítulo]]="",BD_Versos[[#This Row],[Versículo]]=""),"",ExtraerPasaje(_xlfn.CONCAT(BD_Versos[[#This Row],[Libro]],BD_Versos[[#This Row],[Capítulo]],":",BD_Versos[[#This Row],[Versículo]])))</f>
        <v/>
      </c>
      <c r="J225" s="4"/>
      <c r="K225" s="4"/>
      <c r="L225" s="4"/>
    </row>
    <row r="226" spans="1:12" x14ac:dyDescent="0.25">
      <c r="A226" s="2" t="str">
        <f>IF(BD_Versos[[#This Row],[Tema_Principal]]="","",ROW(BD_Versos[[#This Row],[Tema_Principal]])-1)</f>
        <v/>
      </c>
      <c r="G226" s="6" t="str" cm="1">
        <f t="array" ref="G226">IF(OR(BD_Versos[[#This Row],[Libro]]="",BD_Versos[[#This Row],[Capítulo]]="",BD_Versos[[#This Row],[Versículo]]=""),"",ExtraerPasaje(_xlfn.CONCAT(BD_Versos[[#This Row],[Libro]],BD_Versos[[#This Row],[Capítulo]],":",BD_Versos[[#This Row],[Versículo]])))</f>
        <v/>
      </c>
      <c r="J226" s="4"/>
      <c r="K226" s="4"/>
      <c r="L226" s="4"/>
    </row>
    <row r="227" spans="1:12" x14ac:dyDescent="0.25">
      <c r="A227" s="2" t="str">
        <f>IF(BD_Versos[[#This Row],[Tema_Principal]]="","",ROW(BD_Versos[[#This Row],[Tema_Principal]])-1)</f>
        <v/>
      </c>
      <c r="G227" s="6" t="str" cm="1">
        <f t="array" ref="G227">IF(OR(BD_Versos[[#This Row],[Libro]]="",BD_Versos[[#This Row],[Capítulo]]="",BD_Versos[[#This Row],[Versículo]]=""),"",ExtraerPasaje(_xlfn.CONCAT(BD_Versos[[#This Row],[Libro]],BD_Versos[[#This Row],[Capítulo]],":",BD_Versos[[#This Row],[Versículo]])))</f>
        <v/>
      </c>
      <c r="J227" s="4"/>
      <c r="K227" s="4"/>
      <c r="L227" s="4"/>
    </row>
    <row r="228" spans="1:12" x14ac:dyDescent="0.25">
      <c r="A228" s="2" t="str">
        <f>IF(BD_Versos[[#This Row],[Tema_Principal]]="","",ROW(BD_Versos[[#This Row],[Tema_Principal]])-1)</f>
        <v/>
      </c>
      <c r="G228" s="6" t="str" cm="1">
        <f t="array" ref="G228">IF(OR(BD_Versos[[#This Row],[Libro]]="",BD_Versos[[#This Row],[Capítulo]]="",BD_Versos[[#This Row],[Versículo]]=""),"",ExtraerPasaje(_xlfn.CONCAT(BD_Versos[[#This Row],[Libro]],BD_Versos[[#This Row],[Capítulo]],":",BD_Versos[[#This Row],[Versículo]])))</f>
        <v/>
      </c>
      <c r="J228" s="4"/>
      <c r="K228" s="4"/>
      <c r="L228" s="4"/>
    </row>
    <row r="229" spans="1:12" x14ac:dyDescent="0.25">
      <c r="A229" s="2" t="str">
        <f>IF(BD_Versos[[#This Row],[Tema_Principal]]="","",ROW(BD_Versos[[#This Row],[Tema_Principal]])-1)</f>
        <v/>
      </c>
      <c r="G229" s="6" t="str" cm="1">
        <f t="array" ref="G229">IF(OR(BD_Versos[[#This Row],[Libro]]="",BD_Versos[[#This Row],[Capítulo]]="",BD_Versos[[#This Row],[Versículo]]=""),"",ExtraerPasaje(_xlfn.CONCAT(BD_Versos[[#This Row],[Libro]],BD_Versos[[#This Row],[Capítulo]],":",BD_Versos[[#This Row],[Versículo]])))</f>
        <v/>
      </c>
      <c r="J229" s="4"/>
      <c r="K229" s="4"/>
      <c r="L229" s="4"/>
    </row>
    <row r="230" spans="1:12" x14ac:dyDescent="0.25">
      <c r="A230" s="2" t="str">
        <f>IF(BD_Versos[[#This Row],[Tema_Principal]]="","",ROW(BD_Versos[[#This Row],[Tema_Principal]])-1)</f>
        <v/>
      </c>
      <c r="G230" s="6" t="str" cm="1">
        <f t="array" ref="G230">IF(OR(BD_Versos[[#This Row],[Libro]]="",BD_Versos[[#This Row],[Capítulo]]="",BD_Versos[[#This Row],[Versículo]]=""),"",ExtraerPasaje(_xlfn.CONCAT(BD_Versos[[#This Row],[Libro]],BD_Versos[[#This Row],[Capítulo]],":",BD_Versos[[#This Row],[Versículo]])))</f>
        <v/>
      </c>
      <c r="J230" s="4"/>
      <c r="K230" s="4"/>
      <c r="L230" s="4"/>
    </row>
    <row r="231" spans="1:12" x14ac:dyDescent="0.25">
      <c r="A231" s="2" t="str">
        <f>IF(BD_Versos[[#This Row],[Tema_Principal]]="","",ROW(BD_Versos[[#This Row],[Tema_Principal]])-1)</f>
        <v/>
      </c>
      <c r="G231" s="6" t="str" cm="1">
        <f t="array" ref="G231">IF(OR(BD_Versos[[#This Row],[Libro]]="",BD_Versos[[#This Row],[Capítulo]]="",BD_Versos[[#This Row],[Versículo]]=""),"",ExtraerPasaje(_xlfn.CONCAT(BD_Versos[[#This Row],[Libro]],BD_Versos[[#This Row],[Capítulo]],":",BD_Versos[[#This Row],[Versículo]])))</f>
        <v/>
      </c>
      <c r="J231" s="4"/>
      <c r="K231" s="4"/>
      <c r="L231" s="4"/>
    </row>
    <row r="232" spans="1:12" x14ac:dyDescent="0.25">
      <c r="A232" s="2" t="str">
        <f>IF(BD_Versos[[#This Row],[Tema_Principal]]="","",ROW(BD_Versos[[#This Row],[Tema_Principal]])-1)</f>
        <v/>
      </c>
      <c r="G232" s="6" t="str" cm="1">
        <f t="array" ref="G232">IF(OR(BD_Versos[[#This Row],[Libro]]="",BD_Versos[[#This Row],[Capítulo]]="",BD_Versos[[#This Row],[Versículo]]=""),"",ExtraerPasaje(_xlfn.CONCAT(BD_Versos[[#This Row],[Libro]],BD_Versos[[#This Row],[Capítulo]],":",BD_Versos[[#This Row],[Versículo]])))</f>
        <v/>
      </c>
      <c r="J232" s="4"/>
      <c r="K232" s="4"/>
      <c r="L232" s="4"/>
    </row>
    <row r="233" spans="1:12" x14ac:dyDescent="0.25">
      <c r="A233" s="2" t="str">
        <f>IF(BD_Versos[[#This Row],[Tema_Principal]]="","",ROW(BD_Versos[[#This Row],[Tema_Principal]])-1)</f>
        <v/>
      </c>
      <c r="G233" s="6" t="str" cm="1">
        <f t="array" ref="G233">IF(OR(BD_Versos[[#This Row],[Libro]]="",BD_Versos[[#This Row],[Capítulo]]="",BD_Versos[[#This Row],[Versículo]]=""),"",ExtraerPasaje(_xlfn.CONCAT(BD_Versos[[#This Row],[Libro]],BD_Versos[[#This Row],[Capítulo]],":",BD_Versos[[#This Row],[Versículo]])))</f>
        <v/>
      </c>
      <c r="J233" s="4"/>
      <c r="K233" s="4"/>
      <c r="L233" s="4"/>
    </row>
    <row r="234" spans="1:12" x14ac:dyDescent="0.25">
      <c r="A234" s="2" t="str">
        <f>IF(BD_Versos[[#This Row],[Tema_Principal]]="","",ROW(BD_Versos[[#This Row],[Tema_Principal]])-1)</f>
        <v/>
      </c>
      <c r="G234" s="6" t="str" cm="1">
        <f t="array" ref="G234">IF(OR(BD_Versos[[#This Row],[Libro]]="",BD_Versos[[#This Row],[Capítulo]]="",BD_Versos[[#This Row],[Versículo]]=""),"",ExtraerPasaje(_xlfn.CONCAT(BD_Versos[[#This Row],[Libro]],BD_Versos[[#This Row],[Capítulo]],":",BD_Versos[[#This Row],[Versículo]])))</f>
        <v/>
      </c>
      <c r="J234" s="4"/>
      <c r="K234" s="4"/>
      <c r="L234" s="4"/>
    </row>
    <row r="235" spans="1:12" x14ac:dyDescent="0.25">
      <c r="A235" s="2" t="str">
        <f>IF(BD_Versos[[#This Row],[Tema_Principal]]="","",ROW(BD_Versos[[#This Row],[Tema_Principal]])-1)</f>
        <v/>
      </c>
      <c r="G235" s="6" t="str" cm="1">
        <f t="array" ref="G235">IF(OR(BD_Versos[[#This Row],[Libro]]="",BD_Versos[[#This Row],[Capítulo]]="",BD_Versos[[#This Row],[Versículo]]=""),"",ExtraerPasaje(_xlfn.CONCAT(BD_Versos[[#This Row],[Libro]],BD_Versos[[#This Row],[Capítulo]],":",BD_Versos[[#This Row],[Versículo]])))</f>
        <v/>
      </c>
      <c r="J235" s="4"/>
      <c r="K235" s="4"/>
      <c r="L235" s="4"/>
    </row>
    <row r="236" spans="1:12" x14ac:dyDescent="0.25">
      <c r="A236" s="2" t="str">
        <f>IF(BD_Versos[[#This Row],[Tema_Principal]]="","",ROW(BD_Versos[[#This Row],[Tema_Principal]])-1)</f>
        <v/>
      </c>
      <c r="G236" s="6" t="str" cm="1">
        <f t="array" ref="G236">IF(OR(BD_Versos[[#This Row],[Libro]]="",BD_Versos[[#This Row],[Capítulo]]="",BD_Versos[[#This Row],[Versículo]]=""),"",ExtraerPasaje(_xlfn.CONCAT(BD_Versos[[#This Row],[Libro]],BD_Versos[[#This Row],[Capítulo]],":",BD_Versos[[#This Row],[Versículo]])))</f>
        <v/>
      </c>
      <c r="J236" s="4"/>
      <c r="K236" s="4"/>
      <c r="L236" s="4"/>
    </row>
    <row r="237" spans="1:12" x14ac:dyDescent="0.25">
      <c r="A237" s="2" t="str">
        <f>IF(BD_Versos[[#This Row],[Tema_Principal]]="","",ROW(BD_Versos[[#This Row],[Tema_Principal]])-1)</f>
        <v/>
      </c>
      <c r="G237" s="6" t="str" cm="1">
        <f t="array" ref="G237">IF(OR(BD_Versos[[#This Row],[Libro]]="",BD_Versos[[#This Row],[Capítulo]]="",BD_Versos[[#This Row],[Versículo]]=""),"",ExtraerPasaje(_xlfn.CONCAT(BD_Versos[[#This Row],[Libro]],BD_Versos[[#This Row],[Capítulo]],":",BD_Versos[[#This Row],[Versículo]])))</f>
        <v/>
      </c>
      <c r="J237" s="4"/>
      <c r="K237" s="4"/>
      <c r="L237" s="4"/>
    </row>
    <row r="238" spans="1:12" x14ac:dyDescent="0.25">
      <c r="A238" s="2" t="str">
        <f>IF(BD_Versos[[#This Row],[Tema_Principal]]="","",ROW(BD_Versos[[#This Row],[Tema_Principal]])-1)</f>
        <v/>
      </c>
      <c r="G238" s="6" t="str" cm="1">
        <f t="array" ref="G238">IF(OR(BD_Versos[[#This Row],[Libro]]="",BD_Versos[[#This Row],[Capítulo]]="",BD_Versos[[#This Row],[Versículo]]=""),"",ExtraerPasaje(_xlfn.CONCAT(BD_Versos[[#This Row],[Libro]],BD_Versos[[#This Row],[Capítulo]],":",BD_Versos[[#This Row],[Versículo]])))</f>
        <v/>
      </c>
      <c r="J238" s="4"/>
      <c r="K238" s="4"/>
      <c r="L238" s="4"/>
    </row>
    <row r="239" spans="1:12" x14ac:dyDescent="0.25">
      <c r="A239" s="2" t="str">
        <f>IF(BD_Versos[[#This Row],[Tema_Principal]]="","",ROW(BD_Versos[[#This Row],[Tema_Principal]])-1)</f>
        <v/>
      </c>
      <c r="G239" s="6" t="str" cm="1">
        <f t="array" ref="G239">IF(OR(BD_Versos[[#This Row],[Libro]]="",BD_Versos[[#This Row],[Capítulo]]="",BD_Versos[[#This Row],[Versículo]]=""),"",ExtraerPasaje(_xlfn.CONCAT(BD_Versos[[#This Row],[Libro]],BD_Versos[[#This Row],[Capítulo]],":",BD_Versos[[#This Row],[Versículo]])))</f>
        <v/>
      </c>
      <c r="J239" s="4"/>
      <c r="K239" s="4"/>
      <c r="L239" s="4"/>
    </row>
    <row r="240" spans="1:12" x14ac:dyDescent="0.25">
      <c r="A240" s="2" t="str">
        <f>IF(BD_Versos[[#This Row],[Tema_Principal]]="","",ROW(BD_Versos[[#This Row],[Tema_Principal]])-1)</f>
        <v/>
      </c>
      <c r="G240" s="6" t="str" cm="1">
        <f t="array" ref="G240">IF(OR(BD_Versos[[#This Row],[Libro]]="",BD_Versos[[#This Row],[Capítulo]]="",BD_Versos[[#This Row],[Versículo]]=""),"",ExtraerPasaje(_xlfn.CONCAT(BD_Versos[[#This Row],[Libro]],BD_Versos[[#This Row],[Capítulo]],":",BD_Versos[[#This Row],[Versículo]])))</f>
        <v/>
      </c>
      <c r="J240" s="4"/>
      <c r="K240" s="4"/>
      <c r="L240" s="4"/>
    </row>
    <row r="241" spans="1:12" x14ac:dyDescent="0.25">
      <c r="A241" s="2" t="str">
        <f>IF(BD_Versos[[#This Row],[Tema_Principal]]="","",ROW(BD_Versos[[#This Row],[Tema_Principal]])-1)</f>
        <v/>
      </c>
      <c r="G241" s="6" t="str" cm="1">
        <f t="array" ref="G241">IF(OR(BD_Versos[[#This Row],[Libro]]="",BD_Versos[[#This Row],[Capítulo]]="",BD_Versos[[#This Row],[Versículo]]=""),"",ExtraerPasaje(_xlfn.CONCAT(BD_Versos[[#This Row],[Libro]],BD_Versos[[#This Row],[Capítulo]],":",BD_Versos[[#This Row],[Versículo]])))</f>
        <v/>
      </c>
      <c r="J241" s="4"/>
      <c r="K241" s="4"/>
      <c r="L241" s="4"/>
    </row>
    <row r="242" spans="1:12" x14ac:dyDescent="0.25">
      <c r="A242" s="2" t="str">
        <f>IF(BD_Versos[[#This Row],[Tema_Principal]]="","",ROW(BD_Versos[[#This Row],[Tema_Principal]])-1)</f>
        <v/>
      </c>
      <c r="G242" s="6" t="str" cm="1">
        <f t="array" ref="G242">IF(OR(BD_Versos[[#This Row],[Libro]]="",BD_Versos[[#This Row],[Capítulo]]="",BD_Versos[[#This Row],[Versículo]]=""),"",ExtraerPasaje(_xlfn.CONCAT(BD_Versos[[#This Row],[Libro]],BD_Versos[[#This Row],[Capítulo]],":",BD_Versos[[#This Row],[Versículo]])))</f>
        <v/>
      </c>
      <c r="J242" s="4"/>
      <c r="K242" s="4"/>
      <c r="L242" s="4"/>
    </row>
    <row r="243" spans="1:12" x14ac:dyDescent="0.25">
      <c r="A243" s="2" t="str">
        <f>IF(BD_Versos[[#This Row],[Tema_Principal]]="","",ROW(BD_Versos[[#This Row],[Tema_Principal]])-1)</f>
        <v/>
      </c>
      <c r="G243" s="6" t="str" cm="1">
        <f t="array" ref="G243">IF(OR(BD_Versos[[#This Row],[Libro]]="",BD_Versos[[#This Row],[Capítulo]]="",BD_Versos[[#This Row],[Versículo]]=""),"",ExtraerPasaje(_xlfn.CONCAT(BD_Versos[[#This Row],[Libro]],BD_Versos[[#This Row],[Capítulo]],":",BD_Versos[[#This Row],[Versículo]])))</f>
        <v/>
      </c>
      <c r="J243" s="4"/>
      <c r="K243" s="4"/>
      <c r="L243" s="4"/>
    </row>
    <row r="244" spans="1:12" x14ac:dyDescent="0.25">
      <c r="A244" s="2" t="str">
        <f>IF(BD_Versos[[#This Row],[Tema_Principal]]="","",ROW(BD_Versos[[#This Row],[Tema_Principal]])-1)</f>
        <v/>
      </c>
      <c r="G244" s="6" t="str" cm="1">
        <f t="array" ref="G244">IF(OR(BD_Versos[[#This Row],[Libro]]="",BD_Versos[[#This Row],[Capítulo]]="",BD_Versos[[#This Row],[Versículo]]=""),"",ExtraerPasaje(_xlfn.CONCAT(BD_Versos[[#This Row],[Libro]],BD_Versos[[#This Row],[Capítulo]],":",BD_Versos[[#This Row],[Versículo]])))</f>
        <v/>
      </c>
      <c r="J244" s="4"/>
      <c r="K244" s="4"/>
      <c r="L244" s="4"/>
    </row>
    <row r="245" spans="1:12" x14ac:dyDescent="0.25">
      <c r="A245" s="2" t="str">
        <f>IF(BD_Versos[[#This Row],[Tema_Principal]]="","",ROW(BD_Versos[[#This Row],[Tema_Principal]])-1)</f>
        <v/>
      </c>
      <c r="G245" s="6" t="str" cm="1">
        <f t="array" ref="G245">IF(OR(BD_Versos[[#This Row],[Libro]]="",BD_Versos[[#This Row],[Capítulo]]="",BD_Versos[[#This Row],[Versículo]]=""),"",ExtraerPasaje(_xlfn.CONCAT(BD_Versos[[#This Row],[Libro]],BD_Versos[[#This Row],[Capítulo]],":",BD_Versos[[#This Row],[Versículo]])))</f>
        <v/>
      </c>
      <c r="J245" s="4"/>
      <c r="K245" s="4"/>
      <c r="L245" s="4"/>
    </row>
    <row r="246" spans="1:12" x14ac:dyDescent="0.25">
      <c r="A246" s="2" t="str">
        <f>IF(BD_Versos[[#This Row],[Tema_Principal]]="","",ROW(BD_Versos[[#This Row],[Tema_Principal]])-1)</f>
        <v/>
      </c>
      <c r="G246" s="6" t="str" cm="1">
        <f t="array" ref="G246">IF(OR(BD_Versos[[#This Row],[Libro]]="",BD_Versos[[#This Row],[Capítulo]]="",BD_Versos[[#This Row],[Versículo]]=""),"",ExtraerPasaje(_xlfn.CONCAT(BD_Versos[[#This Row],[Libro]],BD_Versos[[#This Row],[Capítulo]],":",BD_Versos[[#This Row],[Versículo]])))</f>
        <v/>
      </c>
      <c r="J246" s="4"/>
      <c r="K246" s="4"/>
      <c r="L246" s="4"/>
    </row>
    <row r="247" spans="1:12" x14ac:dyDescent="0.25">
      <c r="A247" s="2" t="str">
        <f>IF(BD_Versos[[#This Row],[Tema_Principal]]="","",ROW(BD_Versos[[#This Row],[Tema_Principal]])-1)</f>
        <v/>
      </c>
      <c r="G247" s="6" t="str" cm="1">
        <f t="array" ref="G247">IF(OR(BD_Versos[[#This Row],[Libro]]="",BD_Versos[[#This Row],[Capítulo]]="",BD_Versos[[#This Row],[Versículo]]=""),"",ExtraerPasaje(_xlfn.CONCAT(BD_Versos[[#This Row],[Libro]],BD_Versos[[#This Row],[Capítulo]],":",BD_Versos[[#This Row],[Versículo]])))</f>
        <v/>
      </c>
      <c r="J247" s="4"/>
      <c r="K247" s="4"/>
      <c r="L247" s="4"/>
    </row>
    <row r="248" spans="1:12" x14ac:dyDescent="0.25">
      <c r="A248" s="2" t="str">
        <f>IF(BD_Versos[[#This Row],[Tema_Principal]]="","",ROW(BD_Versos[[#This Row],[Tema_Principal]])-1)</f>
        <v/>
      </c>
      <c r="G248" s="6" t="str" cm="1">
        <f t="array" ref="G248">IF(OR(BD_Versos[[#This Row],[Libro]]="",BD_Versos[[#This Row],[Capítulo]]="",BD_Versos[[#This Row],[Versículo]]=""),"",ExtraerPasaje(_xlfn.CONCAT(BD_Versos[[#This Row],[Libro]],BD_Versos[[#This Row],[Capítulo]],":",BD_Versos[[#This Row],[Versículo]])))</f>
        <v/>
      </c>
      <c r="J248" s="4"/>
      <c r="K248" s="4"/>
      <c r="L248" s="4"/>
    </row>
    <row r="249" spans="1:12" x14ac:dyDescent="0.25">
      <c r="A249" s="2" t="str">
        <f>IF(BD_Versos[[#This Row],[Tema_Principal]]="","",ROW(BD_Versos[[#This Row],[Tema_Principal]])-1)</f>
        <v/>
      </c>
      <c r="G249" s="6" t="str" cm="1">
        <f t="array" ref="G249">IF(OR(BD_Versos[[#This Row],[Libro]]="",BD_Versos[[#This Row],[Capítulo]]="",BD_Versos[[#This Row],[Versículo]]=""),"",ExtraerPasaje(_xlfn.CONCAT(BD_Versos[[#This Row],[Libro]],BD_Versos[[#This Row],[Capítulo]],":",BD_Versos[[#This Row],[Versículo]])))</f>
        <v/>
      </c>
      <c r="J249" s="4"/>
      <c r="K249" s="4"/>
      <c r="L249" s="4"/>
    </row>
    <row r="250" spans="1:12" x14ac:dyDescent="0.25">
      <c r="A250" s="2" t="str">
        <f>IF(BD_Versos[[#This Row],[Tema_Principal]]="","",ROW(BD_Versos[[#This Row],[Tema_Principal]])-1)</f>
        <v/>
      </c>
      <c r="G250" s="6" t="str" cm="1">
        <f t="array" ref="G250">IF(OR(BD_Versos[[#This Row],[Libro]]="",BD_Versos[[#This Row],[Capítulo]]="",BD_Versos[[#This Row],[Versículo]]=""),"",ExtraerPasaje(_xlfn.CONCAT(BD_Versos[[#This Row],[Libro]],BD_Versos[[#This Row],[Capítulo]],":",BD_Versos[[#This Row],[Versículo]])))</f>
        <v/>
      </c>
      <c r="J250" s="4"/>
      <c r="K250" s="4"/>
      <c r="L250" s="4"/>
    </row>
    <row r="251" spans="1:12" x14ac:dyDescent="0.25">
      <c r="A251" s="2" t="str">
        <f>IF(BD_Versos[[#This Row],[Tema_Principal]]="","",ROW(BD_Versos[[#This Row],[Tema_Principal]])-1)</f>
        <v/>
      </c>
      <c r="G251" s="6" t="str" cm="1">
        <f t="array" ref="G251">IF(OR(BD_Versos[[#This Row],[Libro]]="",BD_Versos[[#This Row],[Capítulo]]="",BD_Versos[[#This Row],[Versículo]]=""),"",ExtraerPasaje(_xlfn.CONCAT(BD_Versos[[#This Row],[Libro]],BD_Versos[[#This Row],[Capítulo]],":",BD_Versos[[#This Row],[Versículo]])))</f>
        <v/>
      </c>
      <c r="J251" s="4"/>
      <c r="K251" s="4"/>
      <c r="L251" s="4"/>
    </row>
    <row r="252" spans="1:12" x14ac:dyDescent="0.25">
      <c r="A252" s="2" t="str">
        <f>IF(BD_Versos[[#This Row],[Tema_Principal]]="","",ROW(BD_Versos[[#This Row],[Tema_Principal]])-1)</f>
        <v/>
      </c>
      <c r="G252" s="6" t="str" cm="1">
        <f t="array" ref="G252">IF(OR(BD_Versos[[#This Row],[Libro]]="",BD_Versos[[#This Row],[Capítulo]]="",BD_Versos[[#This Row],[Versículo]]=""),"",ExtraerPasaje(_xlfn.CONCAT(BD_Versos[[#This Row],[Libro]],BD_Versos[[#This Row],[Capítulo]],":",BD_Versos[[#This Row],[Versículo]])))</f>
        <v/>
      </c>
      <c r="J252" s="4"/>
      <c r="K252" s="4"/>
      <c r="L252" s="4"/>
    </row>
    <row r="253" spans="1:12" x14ac:dyDescent="0.25">
      <c r="A253" s="2" t="str">
        <f>IF(BD_Versos[[#This Row],[Tema_Principal]]="","",ROW(BD_Versos[[#This Row],[Tema_Principal]])-1)</f>
        <v/>
      </c>
      <c r="G253" s="6" t="str" cm="1">
        <f t="array" ref="G253">IF(OR(BD_Versos[[#This Row],[Libro]]="",BD_Versos[[#This Row],[Capítulo]]="",BD_Versos[[#This Row],[Versículo]]=""),"",ExtraerPasaje(_xlfn.CONCAT(BD_Versos[[#This Row],[Libro]],BD_Versos[[#This Row],[Capítulo]],":",BD_Versos[[#This Row],[Versículo]])))</f>
        <v/>
      </c>
      <c r="J253" s="4"/>
      <c r="K253" s="4"/>
      <c r="L253" s="4"/>
    </row>
    <row r="254" spans="1:12" x14ac:dyDescent="0.25">
      <c r="A254" s="2" t="str">
        <f>IF(BD_Versos[[#This Row],[Tema_Principal]]="","",ROW(BD_Versos[[#This Row],[Tema_Principal]])-1)</f>
        <v/>
      </c>
      <c r="G254" s="6" t="str" cm="1">
        <f t="array" ref="G254">IF(OR(BD_Versos[[#This Row],[Libro]]="",BD_Versos[[#This Row],[Capítulo]]="",BD_Versos[[#This Row],[Versículo]]=""),"",ExtraerPasaje(_xlfn.CONCAT(BD_Versos[[#This Row],[Libro]],BD_Versos[[#This Row],[Capítulo]],":",BD_Versos[[#This Row],[Versículo]])))</f>
        <v/>
      </c>
      <c r="J254" s="4"/>
      <c r="K254" s="4"/>
      <c r="L254" s="4"/>
    </row>
    <row r="255" spans="1:12" x14ac:dyDescent="0.25">
      <c r="A255" s="2" t="str">
        <f>IF(BD_Versos[[#This Row],[Tema_Principal]]="","",ROW(BD_Versos[[#This Row],[Tema_Principal]])-1)</f>
        <v/>
      </c>
      <c r="G255" s="6" t="str" cm="1">
        <f t="array" ref="G255">IF(OR(BD_Versos[[#This Row],[Libro]]="",BD_Versos[[#This Row],[Capítulo]]="",BD_Versos[[#This Row],[Versículo]]=""),"",ExtraerPasaje(_xlfn.CONCAT(BD_Versos[[#This Row],[Libro]],BD_Versos[[#This Row],[Capítulo]],":",BD_Versos[[#This Row],[Versículo]])))</f>
        <v/>
      </c>
      <c r="J255" s="4"/>
      <c r="K255" s="4"/>
      <c r="L255" s="4"/>
    </row>
    <row r="256" spans="1:12" x14ac:dyDescent="0.25">
      <c r="A256" s="2" t="str">
        <f>IF(BD_Versos[[#This Row],[Tema_Principal]]="","",ROW(BD_Versos[[#This Row],[Tema_Principal]])-1)</f>
        <v/>
      </c>
      <c r="G256" s="6" t="str" cm="1">
        <f t="array" ref="G256">IF(OR(BD_Versos[[#This Row],[Libro]]="",BD_Versos[[#This Row],[Capítulo]]="",BD_Versos[[#This Row],[Versículo]]=""),"",ExtraerPasaje(_xlfn.CONCAT(BD_Versos[[#This Row],[Libro]],BD_Versos[[#This Row],[Capítulo]],":",BD_Versos[[#This Row],[Versículo]])))</f>
        <v/>
      </c>
      <c r="J256" s="4"/>
      <c r="K256" s="4"/>
      <c r="L256" s="4"/>
    </row>
    <row r="257" spans="1:12" x14ac:dyDescent="0.25">
      <c r="A257" s="2" t="str">
        <f>IF(BD_Versos[[#This Row],[Tema_Principal]]="","",ROW(BD_Versos[[#This Row],[Tema_Principal]])-1)</f>
        <v/>
      </c>
      <c r="G257" s="6" t="str" cm="1">
        <f t="array" ref="G257">IF(OR(BD_Versos[[#This Row],[Libro]]="",BD_Versos[[#This Row],[Capítulo]]="",BD_Versos[[#This Row],[Versículo]]=""),"",ExtraerPasaje(_xlfn.CONCAT(BD_Versos[[#This Row],[Libro]],BD_Versos[[#This Row],[Capítulo]],":",BD_Versos[[#This Row],[Versículo]])))</f>
        <v/>
      </c>
      <c r="J257" s="4"/>
      <c r="K257" s="4"/>
      <c r="L257" s="4"/>
    </row>
    <row r="258" spans="1:12" x14ac:dyDescent="0.25">
      <c r="A258" s="2" t="str">
        <f>IF(BD_Versos[[#This Row],[Tema_Principal]]="","",ROW(BD_Versos[[#This Row],[Tema_Principal]])-1)</f>
        <v/>
      </c>
      <c r="G258" s="6" t="str" cm="1">
        <f t="array" ref="G258">IF(OR(BD_Versos[[#This Row],[Libro]]="",BD_Versos[[#This Row],[Capítulo]]="",BD_Versos[[#This Row],[Versículo]]=""),"",ExtraerPasaje(_xlfn.CONCAT(BD_Versos[[#This Row],[Libro]],BD_Versos[[#This Row],[Capítulo]],":",BD_Versos[[#This Row],[Versículo]])))</f>
        <v/>
      </c>
      <c r="J258" s="4"/>
      <c r="K258" s="4"/>
      <c r="L258" s="4"/>
    </row>
    <row r="259" spans="1:12" x14ac:dyDescent="0.25">
      <c r="A259" s="2" t="str">
        <f>IF(BD_Versos[[#This Row],[Tema_Principal]]="","",ROW(BD_Versos[[#This Row],[Tema_Principal]])-1)</f>
        <v/>
      </c>
      <c r="G259" s="6" t="str" cm="1">
        <f t="array" ref="G259">IF(OR(BD_Versos[[#This Row],[Libro]]="",BD_Versos[[#This Row],[Capítulo]]="",BD_Versos[[#This Row],[Versículo]]=""),"",ExtraerPasaje(_xlfn.CONCAT(BD_Versos[[#This Row],[Libro]],BD_Versos[[#This Row],[Capítulo]],":",BD_Versos[[#This Row],[Versículo]])))</f>
        <v/>
      </c>
      <c r="J259" s="4"/>
      <c r="K259" s="4"/>
      <c r="L259" s="4"/>
    </row>
    <row r="260" spans="1:12" x14ac:dyDescent="0.25">
      <c r="A260" s="2" t="str">
        <f>IF(BD_Versos[[#This Row],[Tema_Principal]]="","",ROW(BD_Versos[[#This Row],[Tema_Principal]])-1)</f>
        <v/>
      </c>
      <c r="G260" s="6" t="str" cm="1">
        <f t="array" ref="G260">IF(OR(BD_Versos[[#This Row],[Libro]]="",BD_Versos[[#This Row],[Capítulo]]="",BD_Versos[[#This Row],[Versículo]]=""),"",ExtraerPasaje(_xlfn.CONCAT(BD_Versos[[#This Row],[Libro]],BD_Versos[[#This Row],[Capítulo]],":",BD_Versos[[#This Row],[Versículo]])))</f>
        <v/>
      </c>
      <c r="J260" s="4"/>
      <c r="K260" s="4"/>
      <c r="L260" s="4"/>
    </row>
    <row r="261" spans="1:12" x14ac:dyDescent="0.25">
      <c r="A261" s="2" t="str">
        <f>IF(BD_Versos[[#This Row],[Tema_Principal]]="","",ROW(BD_Versos[[#This Row],[Tema_Principal]])-1)</f>
        <v/>
      </c>
      <c r="G261" s="6" t="str" cm="1">
        <f t="array" ref="G261">IF(OR(BD_Versos[[#This Row],[Libro]]="",BD_Versos[[#This Row],[Capítulo]]="",BD_Versos[[#This Row],[Versículo]]=""),"",ExtraerPasaje(_xlfn.CONCAT(BD_Versos[[#This Row],[Libro]],BD_Versos[[#This Row],[Capítulo]],":",BD_Versos[[#This Row],[Versículo]])))</f>
        <v/>
      </c>
      <c r="J261" s="4"/>
      <c r="K261" s="4"/>
      <c r="L261" s="4"/>
    </row>
    <row r="262" spans="1:12" x14ac:dyDescent="0.25">
      <c r="A262" s="2" t="str">
        <f>IF(BD_Versos[[#This Row],[Tema_Principal]]="","",ROW(BD_Versos[[#This Row],[Tema_Principal]])-1)</f>
        <v/>
      </c>
      <c r="G262" s="6" t="str" cm="1">
        <f t="array" ref="G262">IF(OR(BD_Versos[[#This Row],[Libro]]="",BD_Versos[[#This Row],[Capítulo]]="",BD_Versos[[#This Row],[Versículo]]=""),"",ExtraerPasaje(_xlfn.CONCAT(BD_Versos[[#This Row],[Libro]],BD_Versos[[#This Row],[Capítulo]],":",BD_Versos[[#This Row],[Versículo]])))</f>
        <v/>
      </c>
      <c r="J262" s="4"/>
      <c r="K262" s="4"/>
      <c r="L262" s="4"/>
    </row>
    <row r="263" spans="1:12" x14ac:dyDescent="0.25">
      <c r="A263" s="2" t="str">
        <f>IF(BD_Versos[[#This Row],[Tema_Principal]]="","",ROW(BD_Versos[[#This Row],[Tema_Principal]])-1)</f>
        <v/>
      </c>
      <c r="G263" s="6" t="str" cm="1">
        <f t="array" ref="G263">IF(OR(BD_Versos[[#This Row],[Libro]]="",BD_Versos[[#This Row],[Capítulo]]="",BD_Versos[[#This Row],[Versículo]]=""),"",ExtraerPasaje(_xlfn.CONCAT(BD_Versos[[#This Row],[Libro]],BD_Versos[[#This Row],[Capítulo]],":",BD_Versos[[#This Row],[Versículo]])))</f>
        <v/>
      </c>
      <c r="J263" s="4"/>
      <c r="K263" s="4"/>
      <c r="L263" s="4"/>
    </row>
    <row r="264" spans="1:12" x14ac:dyDescent="0.25">
      <c r="A264" s="2" t="str">
        <f>IF(BD_Versos[[#This Row],[Tema_Principal]]="","",ROW(BD_Versos[[#This Row],[Tema_Principal]])-1)</f>
        <v/>
      </c>
      <c r="G264" s="6" t="str" cm="1">
        <f t="array" ref="G264">IF(OR(BD_Versos[[#This Row],[Libro]]="",BD_Versos[[#This Row],[Capítulo]]="",BD_Versos[[#This Row],[Versículo]]=""),"",ExtraerPasaje(_xlfn.CONCAT(BD_Versos[[#This Row],[Libro]],BD_Versos[[#This Row],[Capítulo]],":",BD_Versos[[#This Row],[Versículo]])))</f>
        <v/>
      </c>
      <c r="J264" s="4"/>
      <c r="K264" s="4"/>
      <c r="L264" s="4"/>
    </row>
    <row r="265" spans="1:12" x14ac:dyDescent="0.25">
      <c r="A265" s="2" t="str">
        <f>IF(BD_Versos[[#This Row],[Tema_Principal]]="","",ROW(BD_Versos[[#This Row],[Tema_Principal]])-1)</f>
        <v/>
      </c>
      <c r="G265" s="6" t="str" cm="1">
        <f t="array" ref="G265">IF(OR(BD_Versos[[#This Row],[Libro]]="",BD_Versos[[#This Row],[Capítulo]]="",BD_Versos[[#This Row],[Versículo]]=""),"",ExtraerPasaje(_xlfn.CONCAT(BD_Versos[[#This Row],[Libro]],BD_Versos[[#This Row],[Capítulo]],":",BD_Versos[[#This Row],[Versículo]])))</f>
        <v/>
      </c>
      <c r="J265" s="4"/>
      <c r="K265" s="4"/>
      <c r="L265" s="4"/>
    </row>
    <row r="266" spans="1:12" x14ac:dyDescent="0.25">
      <c r="A266" s="2" t="str">
        <f>IF(BD_Versos[[#This Row],[Tema_Principal]]="","",ROW(BD_Versos[[#This Row],[Tema_Principal]])-1)</f>
        <v/>
      </c>
      <c r="G266" s="6" t="str" cm="1">
        <f t="array" ref="G266">IF(OR(BD_Versos[[#This Row],[Libro]]="",BD_Versos[[#This Row],[Capítulo]]="",BD_Versos[[#This Row],[Versículo]]=""),"",ExtraerPasaje(_xlfn.CONCAT(BD_Versos[[#This Row],[Libro]],BD_Versos[[#This Row],[Capítulo]],":",BD_Versos[[#This Row],[Versículo]])))</f>
        <v/>
      </c>
      <c r="J266" s="4"/>
      <c r="K266" s="4"/>
      <c r="L266" s="4"/>
    </row>
    <row r="267" spans="1:12" x14ac:dyDescent="0.25">
      <c r="A267" s="2" t="str">
        <f>IF(BD_Versos[[#This Row],[Tema_Principal]]="","",ROW(BD_Versos[[#This Row],[Tema_Principal]])-1)</f>
        <v/>
      </c>
      <c r="G267" s="6" t="str" cm="1">
        <f t="array" ref="G267">IF(OR(BD_Versos[[#This Row],[Libro]]="",BD_Versos[[#This Row],[Capítulo]]="",BD_Versos[[#This Row],[Versículo]]=""),"",ExtraerPasaje(_xlfn.CONCAT(BD_Versos[[#This Row],[Libro]],BD_Versos[[#This Row],[Capítulo]],":",BD_Versos[[#This Row],[Versículo]])))</f>
        <v/>
      </c>
      <c r="J267" s="4"/>
      <c r="K267" s="4"/>
      <c r="L267" s="4"/>
    </row>
    <row r="268" spans="1:12" x14ac:dyDescent="0.25">
      <c r="A268" s="2" t="str">
        <f>IF(BD_Versos[[#This Row],[Tema_Principal]]="","",ROW(BD_Versos[[#This Row],[Tema_Principal]])-1)</f>
        <v/>
      </c>
      <c r="G268" s="6" t="str" cm="1">
        <f t="array" ref="G268">IF(OR(BD_Versos[[#This Row],[Libro]]="",BD_Versos[[#This Row],[Capítulo]]="",BD_Versos[[#This Row],[Versículo]]=""),"",ExtraerPasaje(_xlfn.CONCAT(BD_Versos[[#This Row],[Libro]],BD_Versos[[#This Row],[Capítulo]],":",BD_Versos[[#This Row],[Versículo]])))</f>
        <v/>
      </c>
      <c r="J268" s="4"/>
      <c r="K268" s="4"/>
      <c r="L268" s="4"/>
    </row>
    <row r="269" spans="1:12" x14ac:dyDescent="0.25">
      <c r="A269" s="2" t="str">
        <f>IF(BD_Versos[[#This Row],[Tema_Principal]]="","",ROW(BD_Versos[[#This Row],[Tema_Principal]])-1)</f>
        <v/>
      </c>
      <c r="G269" s="6" t="str" cm="1">
        <f t="array" ref="G269">IF(OR(BD_Versos[[#This Row],[Libro]]="",BD_Versos[[#This Row],[Capítulo]]="",BD_Versos[[#This Row],[Versículo]]=""),"",ExtraerPasaje(_xlfn.CONCAT(BD_Versos[[#This Row],[Libro]],BD_Versos[[#This Row],[Capítulo]],":",BD_Versos[[#This Row],[Versículo]])))</f>
        <v/>
      </c>
      <c r="J269" s="4"/>
      <c r="K269" s="4"/>
      <c r="L269" s="4"/>
    </row>
    <row r="270" spans="1:12" x14ac:dyDescent="0.25">
      <c r="A270" s="2" t="str">
        <f>IF(BD_Versos[[#This Row],[Tema_Principal]]="","",ROW(BD_Versos[[#This Row],[Tema_Principal]])-1)</f>
        <v/>
      </c>
      <c r="G270" s="6" t="str" cm="1">
        <f t="array" ref="G270">IF(OR(BD_Versos[[#This Row],[Libro]]="",BD_Versos[[#This Row],[Capítulo]]="",BD_Versos[[#This Row],[Versículo]]=""),"",ExtraerPasaje(_xlfn.CONCAT(BD_Versos[[#This Row],[Libro]],BD_Versos[[#This Row],[Capítulo]],":",BD_Versos[[#This Row],[Versículo]])))</f>
        <v/>
      </c>
      <c r="J270" s="4"/>
      <c r="K270" s="4"/>
      <c r="L270" s="4"/>
    </row>
    <row r="271" spans="1:12" x14ac:dyDescent="0.25">
      <c r="A271" s="2" t="str">
        <f>IF(BD_Versos[[#This Row],[Tema_Principal]]="","",ROW(BD_Versos[[#This Row],[Tema_Principal]])-1)</f>
        <v/>
      </c>
      <c r="G271" s="6" t="str" cm="1">
        <f t="array" ref="G271">IF(OR(BD_Versos[[#This Row],[Libro]]="",BD_Versos[[#This Row],[Capítulo]]="",BD_Versos[[#This Row],[Versículo]]=""),"",ExtraerPasaje(_xlfn.CONCAT(BD_Versos[[#This Row],[Libro]],BD_Versos[[#This Row],[Capítulo]],":",BD_Versos[[#This Row],[Versículo]])))</f>
        <v/>
      </c>
      <c r="J271" s="4"/>
      <c r="K271" s="4"/>
      <c r="L271" s="4"/>
    </row>
    <row r="272" spans="1:12" x14ac:dyDescent="0.25">
      <c r="A272" s="2" t="str">
        <f>IF(BD_Versos[[#This Row],[Tema_Principal]]="","",ROW(BD_Versos[[#This Row],[Tema_Principal]])-1)</f>
        <v/>
      </c>
      <c r="G272" s="6" t="str" cm="1">
        <f t="array" ref="G272">IF(OR(BD_Versos[[#This Row],[Libro]]="",BD_Versos[[#This Row],[Capítulo]]="",BD_Versos[[#This Row],[Versículo]]=""),"",ExtraerPasaje(_xlfn.CONCAT(BD_Versos[[#This Row],[Libro]],BD_Versos[[#This Row],[Capítulo]],":",BD_Versos[[#This Row],[Versículo]])))</f>
        <v/>
      </c>
      <c r="J272" s="4"/>
      <c r="K272" s="4"/>
      <c r="L272" s="4"/>
    </row>
    <row r="273" spans="1:12" x14ac:dyDescent="0.25">
      <c r="A273" s="2" t="str">
        <f>IF(BD_Versos[[#This Row],[Tema_Principal]]="","",ROW(BD_Versos[[#This Row],[Tema_Principal]])-1)</f>
        <v/>
      </c>
      <c r="G273" s="6" t="str" cm="1">
        <f t="array" ref="G273">IF(OR(BD_Versos[[#This Row],[Libro]]="",BD_Versos[[#This Row],[Capítulo]]="",BD_Versos[[#This Row],[Versículo]]=""),"",ExtraerPasaje(_xlfn.CONCAT(BD_Versos[[#This Row],[Libro]],BD_Versos[[#This Row],[Capítulo]],":",BD_Versos[[#This Row],[Versículo]])))</f>
        <v/>
      </c>
      <c r="J273" s="4"/>
      <c r="K273" s="4"/>
      <c r="L273" s="4"/>
    </row>
    <row r="274" spans="1:12" x14ac:dyDescent="0.25">
      <c r="A274" s="2" t="str">
        <f>IF(BD_Versos[[#This Row],[Tema_Principal]]="","",ROW(BD_Versos[[#This Row],[Tema_Principal]])-1)</f>
        <v/>
      </c>
      <c r="G274" s="6" t="str" cm="1">
        <f t="array" ref="G274">IF(OR(BD_Versos[[#This Row],[Libro]]="",BD_Versos[[#This Row],[Capítulo]]="",BD_Versos[[#This Row],[Versículo]]=""),"",ExtraerPasaje(_xlfn.CONCAT(BD_Versos[[#This Row],[Libro]],BD_Versos[[#This Row],[Capítulo]],":",BD_Versos[[#This Row],[Versículo]])))</f>
        <v/>
      </c>
      <c r="J274" s="4"/>
      <c r="K274" s="4"/>
      <c r="L274" s="4"/>
    </row>
    <row r="275" spans="1:12" x14ac:dyDescent="0.25">
      <c r="A275" s="2" t="str">
        <f>IF(BD_Versos[[#This Row],[Tema_Principal]]="","",ROW(BD_Versos[[#This Row],[Tema_Principal]])-1)</f>
        <v/>
      </c>
      <c r="G275" s="6" t="str" cm="1">
        <f t="array" ref="G275">IF(OR(BD_Versos[[#This Row],[Libro]]="",BD_Versos[[#This Row],[Capítulo]]="",BD_Versos[[#This Row],[Versículo]]=""),"",ExtraerPasaje(_xlfn.CONCAT(BD_Versos[[#This Row],[Libro]],BD_Versos[[#This Row],[Capítulo]],":",BD_Versos[[#This Row],[Versículo]])))</f>
        <v/>
      </c>
      <c r="J275" s="4"/>
      <c r="K275" s="4"/>
      <c r="L275" s="4"/>
    </row>
    <row r="276" spans="1:12" x14ac:dyDescent="0.25">
      <c r="A276" s="2" t="str">
        <f>IF(BD_Versos[[#This Row],[Tema_Principal]]="","",ROW(BD_Versos[[#This Row],[Tema_Principal]])-1)</f>
        <v/>
      </c>
      <c r="G276" s="6" t="str" cm="1">
        <f t="array" ref="G276">IF(OR(BD_Versos[[#This Row],[Libro]]="",BD_Versos[[#This Row],[Capítulo]]="",BD_Versos[[#This Row],[Versículo]]=""),"",ExtraerPasaje(_xlfn.CONCAT(BD_Versos[[#This Row],[Libro]],BD_Versos[[#This Row],[Capítulo]],":",BD_Versos[[#This Row],[Versículo]])))</f>
        <v/>
      </c>
      <c r="J276" s="4"/>
      <c r="K276" s="4"/>
      <c r="L276" s="4"/>
    </row>
    <row r="277" spans="1:12" x14ac:dyDescent="0.25">
      <c r="A277" s="2" t="str">
        <f>IF(BD_Versos[[#This Row],[Tema_Principal]]="","",ROW(BD_Versos[[#This Row],[Tema_Principal]])-1)</f>
        <v/>
      </c>
      <c r="G277" s="6" t="str" cm="1">
        <f t="array" ref="G277">IF(OR(BD_Versos[[#This Row],[Libro]]="",BD_Versos[[#This Row],[Capítulo]]="",BD_Versos[[#This Row],[Versículo]]=""),"",ExtraerPasaje(_xlfn.CONCAT(BD_Versos[[#This Row],[Libro]],BD_Versos[[#This Row],[Capítulo]],":",BD_Versos[[#This Row],[Versículo]])))</f>
        <v/>
      </c>
      <c r="J277" s="4"/>
      <c r="K277" s="4"/>
      <c r="L277" s="4"/>
    </row>
    <row r="278" spans="1:12" x14ac:dyDescent="0.25">
      <c r="A278" s="2" t="str">
        <f>IF(BD_Versos[[#This Row],[Tema_Principal]]="","",ROW(BD_Versos[[#This Row],[Tema_Principal]])-1)</f>
        <v/>
      </c>
      <c r="G278" s="6" t="str" cm="1">
        <f t="array" ref="G278">IF(OR(BD_Versos[[#This Row],[Libro]]="",BD_Versos[[#This Row],[Capítulo]]="",BD_Versos[[#This Row],[Versículo]]=""),"",ExtraerPasaje(_xlfn.CONCAT(BD_Versos[[#This Row],[Libro]],BD_Versos[[#This Row],[Capítulo]],":",BD_Versos[[#This Row],[Versículo]])))</f>
        <v/>
      </c>
      <c r="J278" s="4"/>
      <c r="K278" s="4"/>
      <c r="L278" s="4"/>
    </row>
    <row r="279" spans="1:12" x14ac:dyDescent="0.25">
      <c r="A279" s="2" t="str">
        <f>IF(BD_Versos[[#This Row],[Tema_Principal]]="","",ROW(BD_Versos[[#This Row],[Tema_Principal]])-1)</f>
        <v/>
      </c>
      <c r="G279" s="6" t="str" cm="1">
        <f t="array" ref="G279">IF(OR(BD_Versos[[#This Row],[Libro]]="",BD_Versos[[#This Row],[Capítulo]]="",BD_Versos[[#This Row],[Versículo]]=""),"",ExtraerPasaje(_xlfn.CONCAT(BD_Versos[[#This Row],[Libro]],BD_Versos[[#This Row],[Capítulo]],":",BD_Versos[[#This Row],[Versículo]])))</f>
        <v/>
      </c>
      <c r="J279" s="4"/>
      <c r="K279" s="4"/>
      <c r="L279" s="4"/>
    </row>
    <row r="280" spans="1:12" x14ac:dyDescent="0.25">
      <c r="A280" s="2" t="str">
        <f>IF(BD_Versos[[#This Row],[Tema_Principal]]="","",ROW(BD_Versos[[#This Row],[Tema_Principal]])-1)</f>
        <v/>
      </c>
      <c r="G280" s="6" t="str" cm="1">
        <f t="array" ref="G280">IF(OR(BD_Versos[[#This Row],[Libro]]="",BD_Versos[[#This Row],[Capítulo]]="",BD_Versos[[#This Row],[Versículo]]=""),"",ExtraerPasaje(_xlfn.CONCAT(BD_Versos[[#This Row],[Libro]],BD_Versos[[#This Row],[Capítulo]],":",BD_Versos[[#This Row],[Versículo]])))</f>
        <v/>
      </c>
      <c r="J280" s="4"/>
      <c r="K280" s="4"/>
      <c r="L280" s="4"/>
    </row>
    <row r="281" spans="1:12" x14ac:dyDescent="0.25">
      <c r="A281" s="2" t="str">
        <f>IF(BD_Versos[[#This Row],[Tema_Principal]]="","",ROW(BD_Versos[[#This Row],[Tema_Principal]])-1)</f>
        <v/>
      </c>
      <c r="G281" s="6" t="str" cm="1">
        <f t="array" ref="G281">IF(OR(BD_Versos[[#This Row],[Libro]]="",BD_Versos[[#This Row],[Capítulo]]="",BD_Versos[[#This Row],[Versículo]]=""),"",ExtraerPasaje(_xlfn.CONCAT(BD_Versos[[#This Row],[Libro]],BD_Versos[[#This Row],[Capítulo]],":",BD_Versos[[#This Row],[Versículo]])))</f>
        <v/>
      </c>
      <c r="J281" s="4"/>
      <c r="K281" s="4"/>
      <c r="L281" s="4"/>
    </row>
    <row r="282" spans="1:12" x14ac:dyDescent="0.25">
      <c r="A282" s="2" t="str">
        <f>IF(BD_Versos[[#This Row],[Tema_Principal]]="","",ROW(BD_Versos[[#This Row],[Tema_Principal]])-1)</f>
        <v/>
      </c>
      <c r="G282" s="6" t="str" cm="1">
        <f t="array" ref="G282">IF(OR(BD_Versos[[#This Row],[Libro]]="",BD_Versos[[#This Row],[Capítulo]]="",BD_Versos[[#This Row],[Versículo]]=""),"",ExtraerPasaje(_xlfn.CONCAT(BD_Versos[[#This Row],[Libro]],BD_Versos[[#This Row],[Capítulo]],":",BD_Versos[[#This Row],[Versículo]])))</f>
        <v/>
      </c>
      <c r="J282" s="4"/>
      <c r="K282" s="4"/>
      <c r="L282" s="4"/>
    </row>
    <row r="283" spans="1:12" x14ac:dyDescent="0.25">
      <c r="A283" s="2" t="str">
        <f>IF(BD_Versos[[#This Row],[Tema_Principal]]="","",ROW(BD_Versos[[#This Row],[Tema_Principal]])-1)</f>
        <v/>
      </c>
      <c r="G283" s="6" t="str" cm="1">
        <f t="array" ref="G283">IF(OR(BD_Versos[[#This Row],[Libro]]="",BD_Versos[[#This Row],[Capítulo]]="",BD_Versos[[#This Row],[Versículo]]=""),"",ExtraerPasaje(_xlfn.CONCAT(BD_Versos[[#This Row],[Libro]],BD_Versos[[#This Row],[Capítulo]],":",BD_Versos[[#This Row],[Versículo]])))</f>
        <v/>
      </c>
      <c r="J283" s="4"/>
      <c r="K283" s="4"/>
      <c r="L283" s="4"/>
    </row>
    <row r="284" spans="1:12" x14ac:dyDescent="0.25">
      <c r="A284" s="2" t="str">
        <f>IF(BD_Versos[[#This Row],[Tema_Principal]]="","",ROW(BD_Versos[[#This Row],[Tema_Principal]])-1)</f>
        <v/>
      </c>
      <c r="G284" s="6" t="str" cm="1">
        <f t="array" ref="G284">IF(OR(BD_Versos[[#This Row],[Libro]]="",BD_Versos[[#This Row],[Capítulo]]="",BD_Versos[[#This Row],[Versículo]]=""),"",ExtraerPasaje(_xlfn.CONCAT(BD_Versos[[#This Row],[Libro]],BD_Versos[[#This Row],[Capítulo]],":",BD_Versos[[#This Row],[Versículo]])))</f>
        <v/>
      </c>
      <c r="J284" s="4"/>
      <c r="K284" s="4"/>
      <c r="L284" s="4"/>
    </row>
    <row r="285" spans="1:12" x14ac:dyDescent="0.25">
      <c r="A285" s="2" t="str">
        <f>IF(BD_Versos[[#This Row],[Tema_Principal]]="","",ROW(BD_Versos[[#This Row],[Tema_Principal]])-1)</f>
        <v/>
      </c>
      <c r="G285" s="6" t="str" cm="1">
        <f t="array" ref="G285">IF(OR(BD_Versos[[#This Row],[Libro]]="",BD_Versos[[#This Row],[Capítulo]]="",BD_Versos[[#This Row],[Versículo]]=""),"",ExtraerPasaje(_xlfn.CONCAT(BD_Versos[[#This Row],[Libro]],BD_Versos[[#This Row],[Capítulo]],":",BD_Versos[[#This Row],[Versículo]])))</f>
        <v/>
      </c>
      <c r="J285" s="4"/>
      <c r="K285" s="4"/>
      <c r="L285" s="4"/>
    </row>
    <row r="286" spans="1:12" x14ac:dyDescent="0.25">
      <c r="A286" s="2" t="str">
        <f>IF(BD_Versos[[#This Row],[Tema_Principal]]="","",ROW(BD_Versos[[#This Row],[Tema_Principal]])-1)</f>
        <v/>
      </c>
      <c r="G286" s="6" t="str" cm="1">
        <f t="array" ref="G286">IF(OR(BD_Versos[[#This Row],[Libro]]="",BD_Versos[[#This Row],[Capítulo]]="",BD_Versos[[#This Row],[Versículo]]=""),"",ExtraerPasaje(_xlfn.CONCAT(BD_Versos[[#This Row],[Libro]],BD_Versos[[#This Row],[Capítulo]],":",BD_Versos[[#This Row],[Versículo]])))</f>
        <v/>
      </c>
      <c r="J286" s="4"/>
      <c r="K286" s="4"/>
      <c r="L286" s="4"/>
    </row>
    <row r="287" spans="1:12" x14ac:dyDescent="0.25">
      <c r="A287" s="2" t="str">
        <f>IF(BD_Versos[[#This Row],[Tema_Principal]]="","",ROW(BD_Versos[[#This Row],[Tema_Principal]])-1)</f>
        <v/>
      </c>
      <c r="G287" s="6" t="str" cm="1">
        <f t="array" ref="G287">IF(OR(BD_Versos[[#This Row],[Libro]]="",BD_Versos[[#This Row],[Capítulo]]="",BD_Versos[[#This Row],[Versículo]]=""),"",ExtraerPasaje(_xlfn.CONCAT(BD_Versos[[#This Row],[Libro]],BD_Versos[[#This Row],[Capítulo]],":",BD_Versos[[#This Row],[Versículo]])))</f>
        <v/>
      </c>
      <c r="J287" s="4"/>
      <c r="K287" s="4"/>
      <c r="L287" s="4"/>
    </row>
    <row r="288" spans="1:12" x14ac:dyDescent="0.25">
      <c r="A288" s="2" t="str">
        <f>IF(BD_Versos[[#This Row],[Tema_Principal]]="","",ROW(BD_Versos[[#This Row],[Tema_Principal]])-1)</f>
        <v/>
      </c>
      <c r="G288" s="6" t="str" cm="1">
        <f t="array" ref="G288">IF(OR(BD_Versos[[#This Row],[Libro]]="",BD_Versos[[#This Row],[Capítulo]]="",BD_Versos[[#This Row],[Versículo]]=""),"",ExtraerPasaje(_xlfn.CONCAT(BD_Versos[[#This Row],[Libro]],BD_Versos[[#This Row],[Capítulo]],":",BD_Versos[[#This Row],[Versículo]])))</f>
        <v/>
      </c>
      <c r="J288" s="4"/>
      <c r="K288" s="4"/>
      <c r="L288" s="4"/>
    </row>
    <row r="289" spans="1:12" x14ac:dyDescent="0.25">
      <c r="A289" s="2" t="str">
        <f>IF(BD_Versos[[#This Row],[Tema_Principal]]="","",ROW(BD_Versos[[#This Row],[Tema_Principal]])-1)</f>
        <v/>
      </c>
      <c r="G289" s="6" t="str" cm="1">
        <f t="array" ref="G289">IF(OR(BD_Versos[[#This Row],[Libro]]="",BD_Versos[[#This Row],[Capítulo]]="",BD_Versos[[#This Row],[Versículo]]=""),"",ExtraerPasaje(_xlfn.CONCAT(BD_Versos[[#This Row],[Libro]],BD_Versos[[#This Row],[Capítulo]],":",BD_Versos[[#This Row],[Versículo]])))</f>
        <v/>
      </c>
      <c r="J289" s="4"/>
      <c r="K289" s="4"/>
      <c r="L289" s="4"/>
    </row>
    <row r="290" spans="1:12" x14ac:dyDescent="0.25">
      <c r="A290" s="2" t="str">
        <f>IF(BD_Versos[[#This Row],[Tema_Principal]]="","",ROW(BD_Versos[[#This Row],[Tema_Principal]])-1)</f>
        <v/>
      </c>
      <c r="G290" s="6" t="str" cm="1">
        <f t="array" ref="G290">IF(OR(BD_Versos[[#This Row],[Libro]]="",BD_Versos[[#This Row],[Capítulo]]="",BD_Versos[[#This Row],[Versículo]]=""),"",ExtraerPasaje(_xlfn.CONCAT(BD_Versos[[#This Row],[Libro]],BD_Versos[[#This Row],[Capítulo]],":",BD_Versos[[#This Row],[Versículo]])))</f>
        <v/>
      </c>
      <c r="J290" s="4"/>
      <c r="K290" s="4"/>
      <c r="L290" s="4"/>
    </row>
    <row r="291" spans="1:12" x14ac:dyDescent="0.25">
      <c r="A291" s="2" t="str">
        <f>IF(BD_Versos[[#This Row],[Tema_Principal]]="","",ROW(BD_Versos[[#This Row],[Tema_Principal]])-1)</f>
        <v/>
      </c>
      <c r="G291" s="6" t="str" cm="1">
        <f t="array" ref="G291">IF(OR(BD_Versos[[#This Row],[Libro]]="",BD_Versos[[#This Row],[Capítulo]]="",BD_Versos[[#This Row],[Versículo]]=""),"",ExtraerPasaje(_xlfn.CONCAT(BD_Versos[[#This Row],[Libro]],BD_Versos[[#This Row],[Capítulo]],":",BD_Versos[[#This Row],[Versículo]])))</f>
        <v/>
      </c>
      <c r="J291" s="4"/>
      <c r="K291" s="4"/>
      <c r="L291" s="4"/>
    </row>
    <row r="292" spans="1:12" x14ac:dyDescent="0.25">
      <c r="A292" s="2" t="str">
        <f>IF(BD_Versos[[#This Row],[Tema_Principal]]="","",ROW(BD_Versos[[#This Row],[Tema_Principal]])-1)</f>
        <v/>
      </c>
      <c r="G292" s="6" t="str" cm="1">
        <f t="array" ref="G292">IF(OR(BD_Versos[[#This Row],[Libro]]="",BD_Versos[[#This Row],[Capítulo]]="",BD_Versos[[#This Row],[Versículo]]=""),"",ExtraerPasaje(_xlfn.CONCAT(BD_Versos[[#This Row],[Libro]],BD_Versos[[#This Row],[Capítulo]],":",BD_Versos[[#This Row],[Versículo]])))</f>
        <v/>
      </c>
      <c r="J292" s="4"/>
      <c r="K292" s="4"/>
      <c r="L292" s="4"/>
    </row>
    <row r="293" spans="1:12" x14ac:dyDescent="0.25">
      <c r="A293" s="2" t="str">
        <f>IF(BD_Versos[[#This Row],[Tema_Principal]]="","",ROW(BD_Versos[[#This Row],[Tema_Principal]])-1)</f>
        <v/>
      </c>
      <c r="G293" s="6" t="str" cm="1">
        <f t="array" ref="G293">IF(OR(BD_Versos[[#This Row],[Libro]]="",BD_Versos[[#This Row],[Capítulo]]="",BD_Versos[[#This Row],[Versículo]]=""),"",ExtraerPasaje(_xlfn.CONCAT(BD_Versos[[#This Row],[Libro]],BD_Versos[[#This Row],[Capítulo]],":",BD_Versos[[#This Row],[Versículo]])))</f>
        <v/>
      </c>
      <c r="J293" s="4"/>
      <c r="K293" s="4"/>
      <c r="L293" s="4"/>
    </row>
    <row r="294" spans="1:12" x14ac:dyDescent="0.25">
      <c r="A294" s="2" t="str">
        <f>IF(BD_Versos[[#This Row],[Tema_Principal]]="","",ROW(BD_Versos[[#This Row],[Tema_Principal]])-1)</f>
        <v/>
      </c>
      <c r="G294" s="6" t="str" cm="1">
        <f t="array" ref="G294">IF(OR(BD_Versos[[#This Row],[Libro]]="",BD_Versos[[#This Row],[Capítulo]]="",BD_Versos[[#This Row],[Versículo]]=""),"",ExtraerPasaje(_xlfn.CONCAT(BD_Versos[[#This Row],[Libro]],BD_Versos[[#This Row],[Capítulo]],":",BD_Versos[[#This Row],[Versículo]])))</f>
        <v/>
      </c>
      <c r="J294" s="4"/>
      <c r="K294" s="4"/>
      <c r="L294" s="4"/>
    </row>
    <row r="295" spans="1:12" x14ac:dyDescent="0.25">
      <c r="A295" s="2" t="str">
        <f>IF(BD_Versos[[#This Row],[Tema_Principal]]="","",ROW(BD_Versos[[#This Row],[Tema_Principal]])-1)</f>
        <v/>
      </c>
      <c r="G295" s="6" t="str" cm="1">
        <f t="array" ref="G295">IF(OR(BD_Versos[[#This Row],[Libro]]="",BD_Versos[[#This Row],[Capítulo]]="",BD_Versos[[#This Row],[Versículo]]=""),"",ExtraerPasaje(_xlfn.CONCAT(BD_Versos[[#This Row],[Libro]],BD_Versos[[#This Row],[Capítulo]],":",BD_Versos[[#This Row],[Versículo]])))</f>
        <v/>
      </c>
      <c r="J295" s="4"/>
      <c r="K295" s="4"/>
      <c r="L295" s="4"/>
    </row>
    <row r="296" spans="1:12" x14ac:dyDescent="0.25">
      <c r="A296" s="2" t="str">
        <f>IF(BD_Versos[[#This Row],[Tema_Principal]]="","",ROW(BD_Versos[[#This Row],[Tema_Principal]])-1)</f>
        <v/>
      </c>
      <c r="G296" s="6" t="str" cm="1">
        <f t="array" ref="G296">IF(OR(BD_Versos[[#This Row],[Libro]]="",BD_Versos[[#This Row],[Capítulo]]="",BD_Versos[[#This Row],[Versículo]]=""),"",ExtraerPasaje(_xlfn.CONCAT(BD_Versos[[#This Row],[Libro]],BD_Versos[[#This Row],[Capítulo]],":",BD_Versos[[#This Row],[Versículo]])))</f>
        <v/>
      </c>
      <c r="J296" s="4"/>
      <c r="K296" s="4"/>
      <c r="L296" s="4"/>
    </row>
    <row r="297" spans="1:12" x14ac:dyDescent="0.25">
      <c r="A297" s="2" t="str">
        <f>IF(BD_Versos[[#This Row],[Tema_Principal]]="","",ROW(BD_Versos[[#This Row],[Tema_Principal]])-1)</f>
        <v/>
      </c>
      <c r="G297" s="6" t="str" cm="1">
        <f t="array" ref="G297">IF(OR(BD_Versos[[#This Row],[Libro]]="",BD_Versos[[#This Row],[Capítulo]]="",BD_Versos[[#This Row],[Versículo]]=""),"",ExtraerPasaje(_xlfn.CONCAT(BD_Versos[[#This Row],[Libro]],BD_Versos[[#This Row],[Capítulo]],":",BD_Versos[[#This Row],[Versículo]])))</f>
        <v/>
      </c>
      <c r="J297" s="4"/>
      <c r="K297" s="4"/>
      <c r="L297" s="4"/>
    </row>
    <row r="298" spans="1:12" x14ac:dyDescent="0.25">
      <c r="A298" s="2" t="str">
        <f>IF(BD_Versos[[#This Row],[Tema_Principal]]="","",ROW(BD_Versos[[#This Row],[Tema_Principal]])-1)</f>
        <v/>
      </c>
      <c r="G298" s="6" t="str" cm="1">
        <f t="array" ref="G298">IF(OR(BD_Versos[[#This Row],[Libro]]="",BD_Versos[[#This Row],[Capítulo]]="",BD_Versos[[#This Row],[Versículo]]=""),"",ExtraerPasaje(_xlfn.CONCAT(BD_Versos[[#This Row],[Libro]],BD_Versos[[#This Row],[Capítulo]],":",BD_Versos[[#This Row],[Versículo]])))</f>
        <v/>
      </c>
      <c r="J298" s="4"/>
      <c r="K298" s="4"/>
      <c r="L298" s="4"/>
    </row>
    <row r="299" spans="1:12" x14ac:dyDescent="0.25">
      <c r="A299" s="2" t="str">
        <f>IF(BD_Versos[[#This Row],[Tema_Principal]]="","",ROW(BD_Versos[[#This Row],[Tema_Principal]])-1)</f>
        <v/>
      </c>
      <c r="G299" s="6" t="str" cm="1">
        <f t="array" ref="G299">IF(OR(BD_Versos[[#This Row],[Libro]]="",BD_Versos[[#This Row],[Capítulo]]="",BD_Versos[[#This Row],[Versículo]]=""),"",ExtraerPasaje(_xlfn.CONCAT(BD_Versos[[#This Row],[Libro]],BD_Versos[[#This Row],[Capítulo]],":",BD_Versos[[#This Row],[Versículo]])))</f>
        <v/>
      </c>
      <c r="J299" s="4"/>
      <c r="K299" s="4"/>
      <c r="L299" s="4"/>
    </row>
    <row r="300" spans="1:12" x14ac:dyDescent="0.25">
      <c r="A300" s="2" t="str">
        <f>IF(BD_Versos[[#This Row],[Tema_Principal]]="","",ROW(BD_Versos[[#This Row],[Tema_Principal]])-1)</f>
        <v/>
      </c>
      <c r="G300" s="6" t="str" cm="1">
        <f t="array" ref="G300">IF(OR(BD_Versos[[#This Row],[Libro]]="",BD_Versos[[#This Row],[Capítulo]]="",BD_Versos[[#This Row],[Versículo]]=""),"",ExtraerPasaje(_xlfn.CONCAT(BD_Versos[[#This Row],[Libro]],BD_Versos[[#This Row],[Capítulo]],":",BD_Versos[[#This Row],[Versículo]])))</f>
        <v/>
      </c>
      <c r="J300" s="4"/>
      <c r="K300" s="4"/>
      <c r="L300" s="4"/>
    </row>
    <row r="301" spans="1:12" x14ac:dyDescent="0.25">
      <c r="A301" s="2" t="str">
        <f>IF(BD_Versos[[#This Row],[Tema_Principal]]="","",ROW(BD_Versos[[#This Row],[Tema_Principal]])-1)</f>
        <v/>
      </c>
      <c r="G301" s="6" t="str" cm="1">
        <f t="array" ref="G301">IF(OR(BD_Versos[[#This Row],[Libro]]="",BD_Versos[[#This Row],[Capítulo]]="",BD_Versos[[#This Row],[Versículo]]=""),"",ExtraerPasaje(_xlfn.CONCAT(BD_Versos[[#This Row],[Libro]],BD_Versos[[#This Row],[Capítulo]],":",BD_Versos[[#This Row],[Versículo]])))</f>
        <v/>
      </c>
      <c r="J301" s="4"/>
      <c r="K301" s="4"/>
      <c r="L301" s="4"/>
    </row>
    <row r="302" spans="1:12" x14ac:dyDescent="0.25">
      <c r="A302" s="2" t="str">
        <f>IF(BD_Versos[[#This Row],[Tema_Principal]]="","",ROW(BD_Versos[[#This Row],[Tema_Principal]])-1)</f>
        <v/>
      </c>
      <c r="G302" s="6" t="str" cm="1">
        <f t="array" ref="G302">IF(OR(BD_Versos[[#This Row],[Libro]]="",BD_Versos[[#This Row],[Capítulo]]="",BD_Versos[[#This Row],[Versículo]]=""),"",ExtraerPasaje(_xlfn.CONCAT(BD_Versos[[#This Row],[Libro]],BD_Versos[[#This Row],[Capítulo]],":",BD_Versos[[#This Row],[Versículo]])))</f>
        <v/>
      </c>
      <c r="J302" s="4"/>
      <c r="K302" s="4"/>
      <c r="L302" s="4"/>
    </row>
    <row r="303" spans="1:12" x14ac:dyDescent="0.25">
      <c r="A303" s="2" t="str">
        <f>IF(BD_Versos[[#This Row],[Tema_Principal]]="","",ROW(BD_Versos[[#This Row],[Tema_Principal]])-1)</f>
        <v/>
      </c>
      <c r="G303" s="6" t="str" cm="1">
        <f t="array" ref="G303">IF(OR(BD_Versos[[#This Row],[Libro]]="",BD_Versos[[#This Row],[Capítulo]]="",BD_Versos[[#This Row],[Versículo]]=""),"",ExtraerPasaje(_xlfn.CONCAT(BD_Versos[[#This Row],[Libro]],BD_Versos[[#This Row],[Capítulo]],":",BD_Versos[[#This Row],[Versículo]])))</f>
        <v/>
      </c>
      <c r="J303" s="4"/>
      <c r="K303" s="4"/>
      <c r="L303" s="4"/>
    </row>
    <row r="304" spans="1:12" x14ac:dyDescent="0.25">
      <c r="A304" s="2" t="str">
        <f>IF(BD_Versos[[#This Row],[Tema_Principal]]="","",ROW(BD_Versos[[#This Row],[Tema_Principal]])-1)</f>
        <v/>
      </c>
      <c r="G304" s="6" t="str" cm="1">
        <f t="array" ref="G304">IF(OR(BD_Versos[[#This Row],[Libro]]="",BD_Versos[[#This Row],[Capítulo]]="",BD_Versos[[#This Row],[Versículo]]=""),"",ExtraerPasaje(_xlfn.CONCAT(BD_Versos[[#This Row],[Libro]],BD_Versos[[#This Row],[Capítulo]],":",BD_Versos[[#This Row],[Versículo]])))</f>
        <v/>
      </c>
      <c r="J304" s="4"/>
      <c r="K304" s="4"/>
      <c r="L304" s="4"/>
    </row>
    <row r="305" spans="1:12" x14ac:dyDescent="0.25">
      <c r="A305" s="2" t="str">
        <f>IF(BD_Versos[[#This Row],[Tema_Principal]]="","",ROW(BD_Versos[[#This Row],[Tema_Principal]])-1)</f>
        <v/>
      </c>
      <c r="G305" s="6" t="str" cm="1">
        <f t="array" ref="G305">IF(OR(BD_Versos[[#This Row],[Libro]]="",BD_Versos[[#This Row],[Capítulo]]="",BD_Versos[[#This Row],[Versículo]]=""),"",ExtraerPasaje(_xlfn.CONCAT(BD_Versos[[#This Row],[Libro]],BD_Versos[[#This Row],[Capítulo]],":",BD_Versos[[#This Row],[Versículo]])))</f>
        <v/>
      </c>
      <c r="J305" s="4"/>
      <c r="K305" s="4"/>
      <c r="L305" s="4"/>
    </row>
    <row r="306" spans="1:12" x14ac:dyDescent="0.25">
      <c r="A306" s="2" t="str">
        <f>IF(BD_Versos[[#This Row],[Tema_Principal]]="","",ROW(BD_Versos[[#This Row],[Tema_Principal]])-1)</f>
        <v/>
      </c>
      <c r="G306" s="6" t="str" cm="1">
        <f t="array" ref="G306">IF(OR(BD_Versos[[#This Row],[Libro]]="",BD_Versos[[#This Row],[Capítulo]]="",BD_Versos[[#This Row],[Versículo]]=""),"",ExtraerPasaje(_xlfn.CONCAT(BD_Versos[[#This Row],[Libro]],BD_Versos[[#This Row],[Capítulo]],":",BD_Versos[[#This Row],[Versículo]])))</f>
        <v/>
      </c>
      <c r="J306" s="4"/>
      <c r="K306" s="4"/>
      <c r="L306" s="4"/>
    </row>
    <row r="307" spans="1:12" x14ac:dyDescent="0.25">
      <c r="A307" s="2" t="str">
        <f>IF(BD_Versos[[#This Row],[Tema_Principal]]="","",ROW(BD_Versos[[#This Row],[Tema_Principal]])-1)</f>
        <v/>
      </c>
      <c r="G307" s="6" t="str" cm="1">
        <f t="array" ref="G307">IF(OR(BD_Versos[[#This Row],[Libro]]="",BD_Versos[[#This Row],[Capítulo]]="",BD_Versos[[#This Row],[Versículo]]=""),"",ExtraerPasaje(_xlfn.CONCAT(BD_Versos[[#This Row],[Libro]],BD_Versos[[#This Row],[Capítulo]],":",BD_Versos[[#This Row],[Versículo]])))</f>
        <v/>
      </c>
      <c r="J307" s="4"/>
      <c r="K307" s="4"/>
      <c r="L307" s="4"/>
    </row>
    <row r="308" spans="1:12" x14ac:dyDescent="0.25">
      <c r="A308" s="2" t="str">
        <f>IF(BD_Versos[[#This Row],[Tema_Principal]]="","",ROW(BD_Versos[[#This Row],[Tema_Principal]])-1)</f>
        <v/>
      </c>
      <c r="G308" s="6" t="str" cm="1">
        <f t="array" ref="G308">IF(OR(BD_Versos[[#This Row],[Libro]]="",BD_Versos[[#This Row],[Capítulo]]="",BD_Versos[[#This Row],[Versículo]]=""),"",ExtraerPasaje(_xlfn.CONCAT(BD_Versos[[#This Row],[Libro]],BD_Versos[[#This Row],[Capítulo]],":",BD_Versos[[#This Row],[Versículo]])))</f>
        <v/>
      </c>
      <c r="J308" s="4"/>
      <c r="K308" s="4"/>
      <c r="L308" s="4"/>
    </row>
    <row r="309" spans="1:12" x14ac:dyDescent="0.25">
      <c r="A309" s="2" t="str">
        <f>IF(BD_Versos[[#This Row],[Tema_Principal]]="","",ROW(BD_Versos[[#This Row],[Tema_Principal]])-1)</f>
        <v/>
      </c>
      <c r="G309" s="6" t="str" cm="1">
        <f t="array" ref="G309">IF(OR(BD_Versos[[#This Row],[Libro]]="",BD_Versos[[#This Row],[Capítulo]]="",BD_Versos[[#This Row],[Versículo]]=""),"",ExtraerPasaje(_xlfn.CONCAT(BD_Versos[[#This Row],[Libro]],BD_Versos[[#This Row],[Capítulo]],":",BD_Versos[[#This Row],[Versículo]])))</f>
        <v/>
      </c>
      <c r="J309" s="4"/>
      <c r="K309" s="4"/>
      <c r="L309" s="4"/>
    </row>
    <row r="310" spans="1:12" x14ac:dyDescent="0.25">
      <c r="A310" s="2" t="str">
        <f>IF(BD_Versos[[#This Row],[Tema_Principal]]="","",ROW(BD_Versos[[#This Row],[Tema_Principal]])-1)</f>
        <v/>
      </c>
      <c r="G310" s="6" t="str" cm="1">
        <f t="array" ref="G310">IF(OR(BD_Versos[[#This Row],[Libro]]="",BD_Versos[[#This Row],[Capítulo]]="",BD_Versos[[#This Row],[Versículo]]=""),"",ExtraerPasaje(_xlfn.CONCAT(BD_Versos[[#This Row],[Libro]],BD_Versos[[#This Row],[Capítulo]],":",BD_Versos[[#This Row],[Versículo]])))</f>
        <v/>
      </c>
      <c r="J310" s="4"/>
      <c r="K310" s="4"/>
      <c r="L310" s="4"/>
    </row>
    <row r="311" spans="1:12" x14ac:dyDescent="0.25">
      <c r="A311" s="2" t="str">
        <f>IF(BD_Versos[[#This Row],[Tema_Principal]]="","",ROW(BD_Versos[[#This Row],[Tema_Principal]])-1)</f>
        <v/>
      </c>
      <c r="G311" s="6" t="str" cm="1">
        <f t="array" ref="G311">IF(OR(BD_Versos[[#This Row],[Libro]]="",BD_Versos[[#This Row],[Capítulo]]="",BD_Versos[[#This Row],[Versículo]]=""),"",ExtraerPasaje(_xlfn.CONCAT(BD_Versos[[#This Row],[Libro]],BD_Versos[[#This Row],[Capítulo]],":",BD_Versos[[#This Row],[Versículo]])))</f>
        <v/>
      </c>
      <c r="J311" s="4"/>
      <c r="K311" s="4"/>
      <c r="L311" s="4"/>
    </row>
    <row r="312" spans="1:12" x14ac:dyDescent="0.25">
      <c r="A312" s="2" t="str">
        <f>IF(BD_Versos[[#This Row],[Tema_Principal]]="","",ROW(BD_Versos[[#This Row],[Tema_Principal]])-1)</f>
        <v/>
      </c>
      <c r="G312" s="6" t="str" cm="1">
        <f t="array" ref="G312">IF(OR(BD_Versos[[#This Row],[Libro]]="",BD_Versos[[#This Row],[Capítulo]]="",BD_Versos[[#This Row],[Versículo]]=""),"",ExtraerPasaje(_xlfn.CONCAT(BD_Versos[[#This Row],[Libro]],BD_Versos[[#This Row],[Capítulo]],":",BD_Versos[[#This Row],[Versículo]])))</f>
        <v/>
      </c>
      <c r="J312" s="4"/>
      <c r="K312" s="4"/>
      <c r="L312" s="4"/>
    </row>
    <row r="313" spans="1:12" x14ac:dyDescent="0.25">
      <c r="A313" s="2" t="str">
        <f>IF(BD_Versos[[#This Row],[Tema_Principal]]="","",ROW(BD_Versos[[#This Row],[Tema_Principal]])-1)</f>
        <v/>
      </c>
      <c r="G313" s="6" t="str" cm="1">
        <f t="array" ref="G313">IF(OR(BD_Versos[[#This Row],[Libro]]="",BD_Versos[[#This Row],[Capítulo]]="",BD_Versos[[#This Row],[Versículo]]=""),"",ExtraerPasaje(_xlfn.CONCAT(BD_Versos[[#This Row],[Libro]],BD_Versos[[#This Row],[Capítulo]],":",BD_Versos[[#This Row],[Versículo]])))</f>
        <v/>
      </c>
      <c r="J313" s="4"/>
      <c r="K313" s="4"/>
      <c r="L313" s="4"/>
    </row>
    <row r="314" spans="1:12"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J314" s="4"/>
      <c r="K314" s="4"/>
      <c r="L314" s="4"/>
    </row>
    <row r="315" spans="1:12"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J315" s="4"/>
      <c r="K315" s="4"/>
      <c r="L315" s="4"/>
    </row>
    <row r="316" spans="1:12"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J316" s="4"/>
      <c r="K316" s="4"/>
      <c r="L316" s="4"/>
    </row>
    <row r="317" spans="1:12"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J317" s="4"/>
      <c r="K317" s="4"/>
      <c r="L317" s="4"/>
    </row>
    <row r="318" spans="1:12"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J318" s="4"/>
      <c r="K318" s="4"/>
      <c r="L318" s="4"/>
    </row>
    <row r="319" spans="1:12"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J319" s="4"/>
      <c r="K319" s="4"/>
      <c r="L319" s="4"/>
    </row>
    <row r="320" spans="1:12"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J320" s="4"/>
      <c r="K320" s="4"/>
      <c r="L320" s="4"/>
    </row>
    <row r="321" spans="1:12"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J321" s="4"/>
      <c r="K321" s="4"/>
      <c r="L321" s="4"/>
    </row>
    <row r="322" spans="1:12"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J322" s="4"/>
      <c r="K322" s="4"/>
      <c r="L322" s="4"/>
    </row>
    <row r="323" spans="1:12"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J323" s="4"/>
      <c r="K323" s="4"/>
      <c r="L323" s="4"/>
    </row>
    <row r="324" spans="1:12"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J324" s="4"/>
      <c r="K324" s="4"/>
      <c r="L324" s="4"/>
    </row>
    <row r="325" spans="1:12"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J325" s="4"/>
      <c r="K325" s="4"/>
      <c r="L325" s="4"/>
    </row>
    <row r="326" spans="1:12"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J326" s="4"/>
      <c r="K326" s="4"/>
      <c r="L326" s="4"/>
    </row>
    <row r="327" spans="1:12"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J327" s="4"/>
      <c r="K327" s="4"/>
      <c r="L327" s="4"/>
    </row>
    <row r="328" spans="1:12"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J328" s="4"/>
      <c r="K328" s="4"/>
      <c r="L328" s="4"/>
    </row>
    <row r="329" spans="1:12"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J329" s="4"/>
      <c r="K329" s="4"/>
      <c r="L329" s="4"/>
    </row>
    <row r="330" spans="1:12"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J330" s="4"/>
      <c r="K330" s="4"/>
      <c r="L330" s="4"/>
    </row>
    <row r="331" spans="1:12"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J331" s="4"/>
      <c r="K331" s="4"/>
      <c r="L331" s="4"/>
    </row>
    <row r="332" spans="1:12"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J332" s="4"/>
      <c r="K332" s="4"/>
      <c r="L332" s="4"/>
    </row>
    <row r="333" spans="1:12"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J333" s="4"/>
      <c r="K333" s="4"/>
      <c r="L333" s="4"/>
    </row>
    <row r="334" spans="1:12"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J334" s="4"/>
      <c r="K334" s="4"/>
      <c r="L334" s="4"/>
    </row>
    <row r="335" spans="1:12"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J335" s="4"/>
      <c r="K335" s="4"/>
      <c r="L335" s="4"/>
    </row>
    <row r="336" spans="1:12"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J336" s="4"/>
      <c r="K336" s="4"/>
      <c r="L336" s="4"/>
    </row>
    <row r="337" spans="1:12"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J337" s="4"/>
      <c r="K337" s="4"/>
      <c r="L337" s="4"/>
    </row>
    <row r="338" spans="1:12"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J338" s="4"/>
      <c r="K338" s="4"/>
      <c r="L338" s="4"/>
    </row>
    <row r="339" spans="1:12"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J339" s="4"/>
      <c r="K339" s="4"/>
      <c r="L339" s="4"/>
    </row>
    <row r="340" spans="1:12"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J340" s="4"/>
      <c r="K340" s="4"/>
      <c r="L340" s="4"/>
    </row>
    <row r="341" spans="1:12"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J341" s="4"/>
      <c r="K341" s="4"/>
      <c r="L341" s="4"/>
    </row>
    <row r="342" spans="1:12"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J342" s="4"/>
      <c r="K342" s="4"/>
      <c r="L342" s="4"/>
    </row>
    <row r="343" spans="1:12"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J343" s="4"/>
      <c r="K343" s="4"/>
      <c r="L343" s="4"/>
    </row>
    <row r="344" spans="1:12"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J344" s="4"/>
      <c r="K344" s="4"/>
      <c r="L344" s="4"/>
    </row>
    <row r="345" spans="1:12"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J345" s="4"/>
      <c r="K345" s="4"/>
      <c r="L345" s="4"/>
    </row>
    <row r="346" spans="1:12"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J346" s="4"/>
      <c r="K346" s="4"/>
      <c r="L346" s="4"/>
    </row>
    <row r="347" spans="1:12"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J347" s="4"/>
      <c r="K347" s="4"/>
      <c r="L347" s="4"/>
    </row>
    <row r="348" spans="1:12"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J348" s="4"/>
      <c r="K348" s="4"/>
      <c r="L348" s="4"/>
    </row>
    <row r="349" spans="1:12"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J349" s="4"/>
      <c r="K349" s="4"/>
      <c r="L349" s="4"/>
    </row>
    <row r="350" spans="1:12"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J350" s="4"/>
      <c r="K350" s="4"/>
      <c r="L350" s="4"/>
    </row>
    <row r="351" spans="1:12"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J351" s="4"/>
      <c r="K351" s="4"/>
      <c r="L351" s="4"/>
    </row>
    <row r="352" spans="1:12"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J352" s="4"/>
      <c r="K352" s="4"/>
      <c r="L352" s="4"/>
    </row>
    <row r="353" spans="1:12"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J353" s="4"/>
      <c r="K353" s="4"/>
      <c r="L353" s="4"/>
    </row>
    <row r="354" spans="1:12"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J354" s="4"/>
      <c r="K354" s="4"/>
      <c r="L354" s="4"/>
    </row>
    <row r="355" spans="1:12"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J355" s="4"/>
      <c r="K355" s="4"/>
      <c r="L355" s="4"/>
    </row>
    <row r="356" spans="1:12"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J356" s="4"/>
      <c r="K356" s="4"/>
      <c r="L356" s="4"/>
    </row>
    <row r="357" spans="1:12"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J357" s="4"/>
      <c r="K357" s="4"/>
      <c r="L357" s="4"/>
    </row>
    <row r="358" spans="1:12"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J358" s="4"/>
      <c r="K358" s="4"/>
      <c r="L358" s="4"/>
    </row>
    <row r="359" spans="1:12"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J359" s="4"/>
      <c r="K359" s="4"/>
      <c r="L359" s="4"/>
    </row>
    <row r="360" spans="1:12"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J360" s="4"/>
      <c r="K360" s="4"/>
      <c r="L360" s="4"/>
    </row>
    <row r="361" spans="1:12"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J361" s="4"/>
      <c r="K361" s="4"/>
      <c r="L361" s="4"/>
    </row>
    <row r="362" spans="1:12"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J362" s="4"/>
      <c r="K362" s="4"/>
      <c r="L362" s="4"/>
    </row>
    <row r="363" spans="1:12"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J363" s="4"/>
      <c r="K363" s="4"/>
      <c r="L363" s="4"/>
    </row>
    <row r="364" spans="1:12"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J364" s="4"/>
      <c r="K364" s="4"/>
      <c r="L364" s="4"/>
    </row>
    <row r="365" spans="1:12"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J365" s="4"/>
      <c r="K365" s="4"/>
      <c r="L365" s="4"/>
    </row>
    <row r="366" spans="1:12"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J366" s="4"/>
      <c r="K366" s="4"/>
      <c r="L366" s="4"/>
    </row>
    <row r="367" spans="1:12"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J367" s="4"/>
      <c r="K367" s="4"/>
      <c r="L367" s="4"/>
    </row>
    <row r="368" spans="1:12"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J368" s="4"/>
      <c r="K368" s="4"/>
      <c r="L368" s="4"/>
    </row>
    <row r="369" spans="1:12"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J369" s="4"/>
      <c r="K369" s="4"/>
      <c r="L369" s="4"/>
    </row>
    <row r="370" spans="1:12"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J370" s="4"/>
      <c r="K370" s="4"/>
      <c r="L370" s="4"/>
    </row>
    <row r="371" spans="1:12"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J371" s="4"/>
      <c r="K371" s="4"/>
      <c r="L371" s="4"/>
    </row>
    <row r="372" spans="1:12"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J372" s="4"/>
      <c r="K372" s="4"/>
      <c r="L372" s="4"/>
    </row>
    <row r="373" spans="1:12"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J373" s="4"/>
      <c r="K373" s="4"/>
      <c r="L373" s="4"/>
    </row>
    <row r="374" spans="1:12"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J374" s="4"/>
      <c r="K374" s="4"/>
      <c r="L374" s="4"/>
    </row>
    <row r="375" spans="1:12"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J375" s="4"/>
      <c r="K375" s="4"/>
      <c r="L375" s="4"/>
    </row>
    <row r="376" spans="1:12"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J376" s="4"/>
      <c r="K376" s="4"/>
      <c r="L376" s="4"/>
    </row>
    <row r="377" spans="1:12"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J377" s="4"/>
      <c r="K377" s="4"/>
      <c r="L377" s="4"/>
    </row>
    <row r="378" spans="1:12"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J378" s="4"/>
      <c r="K378" s="4"/>
      <c r="L378" s="4"/>
    </row>
    <row r="379" spans="1:12"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J379" s="4"/>
      <c r="K379" s="4"/>
      <c r="L379" s="4"/>
    </row>
    <row r="380" spans="1:12"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J380" s="4"/>
      <c r="K380" s="4"/>
      <c r="L380" s="4"/>
    </row>
    <row r="381" spans="1:12"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J381" s="4"/>
      <c r="K381" s="4"/>
      <c r="L381" s="4"/>
    </row>
    <row r="382" spans="1:12"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J382" s="4"/>
      <c r="K382" s="4"/>
      <c r="L382" s="4"/>
    </row>
    <row r="383" spans="1:12"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J383" s="4"/>
      <c r="K383" s="4"/>
      <c r="L383" s="4"/>
    </row>
    <row r="384" spans="1:12"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J384" s="4"/>
      <c r="K384" s="4"/>
      <c r="L384" s="4"/>
    </row>
    <row r="385" spans="1:12"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J385" s="4"/>
      <c r="K385" s="4"/>
      <c r="L385" s="4"/>
    </row>
    <row r="386" spans="1:12"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J386" s="4"/>
      <c r="K386" s="4"/>
      <c r="L386" s="4"/>
    </row>
    <row r="387" spans="1:12"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J387" s="4"/>
      <c r="K387" s="4"/>
      <c r="L387" s="4"/>
    </row>
    <row r="388" spans="1:12"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J388" s="4"/>
      <c r="K388" s="4"/>
      <c r="L388" s="4"/>
    </row>
    <row r="389" spans="1:12"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J389" s="4"/>
      <c r="K389" s="4"/>
      <c r="L389" s="4"/>
    </row>
    <row r="390" spans="1:12"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J390" s="4"/>
      <c r="K390" s="4"/>
      <c r="L390" s="4"/>
    </row>
    <row r="391" spans="1:12"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J391" s="4"/>
      <c r="K391" s="4"/>
      <c r="L391" s="4"/>
    </row>
    <row r="392" spans="1:12"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J392" s="4"/>
      <c r="K392" s="4"/>
      <c r="L392" s="4"/>
    </row>
    <row r="393" spans="1:12"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J393" s="4"/>
      <c r="K393" s="4"/>
      <c r="L393" s="4"/>
    </row>
    <row r="394" spans="1:12"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J394" s="4"/>
      <c r="K394" s="4"/>
      <c r="L394" s="4"/>
    </row>
    <row r="395" spans="1:12"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J395" s="4"/>
      <c r="K395" s="4"/>
      <c r="L395" s="4"/>
    </row>
    <row r="396" spans="1:12"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J396" s="4"/>
      <c r="K396" s="4"/>
      <c r="L396" s="4"/>
    </row>
    <row r="397" spans="1:12"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J397" s="4"/>
      <c r="K397" s="4"/>
      <c r="L397" s="4"/>
    </row>
    <row r="398" spans="1:12"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J398" s="4"/>
      <c r="K398" s="4"/>
      <c r="L398" s="4"/>
    </row>
    <row r="399" spans="1:12"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J399" s="4"/>
      <c r="K399" s="4"/>
      <c r="L399" s="4"/>
    </row>
    <row r="400" spans="1:12"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J400" s="4"/>
      <c r="K400" s="4"/>
      <c r="L400" s="4"/>
    </row>
    <row r="401" spans="1:12"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J401" s="4"/>
      <c r="K401" s="4"/>
      <c r="L401" s="4"/>
    </row>
    <row r="402" spans="1:12"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J402" s="4"/>
      <c r="K402" s="4"/>
      <c r="L402" s="4"/>
    </row>
    <row r="403" spans="1:12"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J403" s="4"/>
      <c r="K403" s="4"/>
      <c r="L403" s="4"/>
    </row>
    <row r="404" spans="1:12"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J404" s="4"/>
      <c r="K404" s="4"/>
      <c r="L404" s="4"/>
    </row>
    <row r="405" spans="1:12"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J405" s="4"/>
      <c r="K405" s="4"/>
      <c r="L405" s="4"/>
    </row>
    <row r="406" spans="1:12"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J406" s="4"/>
      <c r="K406" s="4"/>
      <c r="L406" s="4"/>
    </row>
    <row r="407" spans="1:12"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J407" s="4"/>
      <c r="K407" s="4"/>
      <c r="L407" s="4"/>
    </row>
    <row r="408" spans="1:12"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J408" s="4"/>
      <c r="K408" s="4"/>
      <c r="L408" s="4"/>
    </row>
    <row r="409" spans="1:12"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J409" s="4"/>
      <c r="K409" s="4"/>
      <c r="L409" s="4"/>
    </row>
    <row r="410" spans="1:12"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J410" s="4"/>
      <c r="K410" s="4"/>
      <c r="L410" s="4"/>
    </row>
    <row r="411" spans="1:12"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J411" s="4"/>
      <c r="K411" s="4"/>
      <c r="L411" s="4"/>
    </row>
    <row r="412" spans="1:12"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J412" s="4"/>
      <c r="K412" s="4"/>
      <c r="L412" s="4"/>
    </row>
    <row r="413" spans="1:12"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J413" s="4"/>
      <c r="K413" s="4"/>
      <c r="L413" s="4"/>
    </row>
    <row r="414" spans="1:12"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J414" s="4"/>
      <c r="K414" s="4"/>
      <c r="L414" s="4"/>
    </row>
    <row r="415" spans="1:12"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J415" s="4"/>
      <c r="K415" s="4"/>
      <c r="L415" s="4"/>
    </row>
    <row r="416" spans="1:12"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J416" s="4"/>
      <c r="K416" s="4"/>
      <c r="L416" s="4"/>
    </row>
    <row r="417" spans="1:12"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J417" s="4"/>
      <c r="K417" s="4"/>
      <c r="L417" s="4"/>
    </row>
    <row r="418" spans="1:12"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J418" s="4"/>
      <c r="K418" s="4"/>
      <c r="L418" s="4"/>
    </row>
    <row r="419" spans="1:12"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J419" s="4"/>
      <c r="K419" s="4"/>
      <c r="L419" s="4"/>
    </row>
    <row r="420" spans="1:12"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J420" s="4"/>
      <c r="K420" s="4"/>
      <c r="L420" s="4"/>
    </row>
    <row r="421" spans="1:12"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J421" s="4"/>
      <c r="K421" s="4"/>
      <c r="L421" s="4"/>
    </row>
    <row r="422" spans="1:12"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J422" s="4"/>
      <c r="K422" s="4"/>
      <c r="L422" s="4"/>
    </row>
    <row r="423" spans="1:12"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J423" s="4"/>
      <c r="K423" s="4"/>
      <c r="L423" s="4"/>
    </row>
    <row r="424" spans="1:12"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J424" s="4"/>
      <c r="K424" s="4"/>
      <c r="L424" s="4"/>
    </row>
    <row r="425" spans="1:12"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J425" s="4"/>
      <c r="K425" s="4"/>
      <c r="L425" s="4"/>
    </row>
    <row r="426" spans="1:12"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J426" s="4"/>
      <c r="K426" s="4"/>
      <c r="L426" s="4"/>
    </row>
    <row r="427" spans="1:12"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J427" s="4"/>
      <c r="K427" s="4"/>
      <c r="L427" s="4"/>
    </row>
    <row r="428" spans="1:12"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J428" s="4"/>
      <c r="K428" s="4"/>
      <c r="L428" s="4"/>
    </row>
    <row r="429" spans="1:12"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J429" s="4"/>
      <c r="K429" s="4"/>
      <c r="L429" s="4"/>
    </row>
    <row r="430" spans="1:12"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J430" s="4"/>
      <c r="K430" s="4"/>
      <c r="L430" s="4"/>
    </row>
    <row r="431" spans="1:12"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J431" s="4"/>
      <c r="K431" s="4"/>
      <c r="L431" s="4"/>
    </row>
    <row r="432" spans="1:12"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J432" s="4"/>
      <c r="K432" s="4"/>
      <c r="L432" s="4"/>
    </row>
    <row r="433" spans="1:12"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J433" s="4"/>
      <c r="K433" s="4"/>
      <c r="L433" s="4"/>
    </row>
    <row r="434" spans="1:12"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J434" s="4"/>
      <c r="K434" s="4"/>
      <c r="L434" s="4"/>
    </row>
    <row r="435" spans="1:12"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J435" s="4"/>
      <c r="K435" s="4"/>
      <c r="L435" s="4"/>
    </row>
    <row r="436" spans="1:12"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J436" s="4"/>
      <c r="K436" s="4"/>
      <c r="L436" s="4"/>
    </row>
    <row r="437" spans="1:12"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J437" s="4"/>
      <c r="K437" s="4"/>
      <c r="L437" s="4"/>
    </row>
    <row r="438" spans="1:12"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J438" s="4"/>
      <c r="K438" s="4"/>
      <c r="L438" s="4"/>
    </row>
    <row r="439" spans="1:12"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J439" s="4"/>
      <c r="K439" s="4"/>
      <c r="L439" s="4"/>
    </row>
    <row r="440" spans="1:12"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J440" s="4"/>
      <c r="K440" s="4"/>
      <c r="L440" s="4"/>
    </row>
    <row r="441" spans="1:12"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J441" s="4"/>
      <c r="K441" s="4"/>
      <c r="L441" s="4"/>
    </row>
    <row r="442" spans="1:12"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J442" s="4"/>
      <c r="K442" s="4"/>
      <c r="L442" s="4"/>
    </row>
    <row r="443" spans="1:12"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J443" s="4"/>
      <c r="K443" s="4"/>
      <c r="L443" s="4"/>
    </row>
    <row r="444" spans="1:12"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J444" s="4"/>
      <c r="K444" s="4"/>
      <c r="L444" s="4"/>
    </row>
    <row r="445" spans="1:12"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J445" s="4"/>
      <c r="K445" s="4"/>
      <c r="L445" s="4"/>
    </row>
    <row r="446" spans="1:12"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J446" s="4"/>
      <c r="K446" s="4"/>
      <c r="L446" s="4"/>
    </row>
    <row r="447" spans="1:12"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J447" s="4"/>
      <c r="K447" s="4"/>
      <c r="L447" s="4"/>
    </row>
    <row r="448" spans="1:12"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J448" s="4"/>
      <c r="K448" s="4"/>
      <c r="L448" s="4"/>
    </row>
    <row r="449" spans="1:12"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J449" s="4"/>
      <c r="K449" s="4"/>
      <c r="L449" s="4"/>
    </row>
    <row r="450" spans="1:12"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J450" s="4"/>
      <c r="K450" s="4"/>
      <c r="L450" s="4"/>
    </row>
    <row r="451" spans="1:12"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J451" s="4"/>
      <c r="K451" s="4"/>
      <c r="L451" s="4"/>
    </row>
    <row r="452" spans="1:12"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J452" s="4"/>
      <c r="K452" s="4"/>
      <c r="L452" s="4"/>
    </row>
    <row r="453" spans="1:12"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J453" s="4"/>
      <c r="K453" s="4"/>
      <c r="L453" s="4"/>
    </row>
    <row r="454" spans="1:12"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J454" s="4"/>
      <c r="K454" s="4"/>
      <c r="L454" s="4"/>
    </row>
    <row r="455" spans="1:12"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J455" s="4"/>
      <c r="K455" s="4"/>
      <c r="L455" s="4"/>
    </row>
    <row r="456" spans="1:12"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J456" s="4"/>
      <c r="K456" s="4"/>
      <c r="L456" s="4"/>
    </row>
    <row r="457" spans="1:12"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J457" s="4"/>
      <c r="K457" s="4"/>
      <c r="L457" s="4"/>
    </row>
    <row r="458" spans="1:12"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J458" s="4"/>
      <c r="K458" s="4"/>
      <c r="L458" s="4"/>
    </row>
    <row r="459" spans="1:12"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J459" s="4"/>
      <c r="K459" s="4"/>
      <c r="L459" s="4"/>
    </row>
    <row r="460" spans="1:12"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J460" s="4"/>
      <c r="K460" s="4"/>
      <c r="L460" s="4"/>
    </row>
    <row r="461" spans="1:12"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J461" s="4"/>
      <c r="K461" s="4"/>
      <c r="L461" s="4"/>
    </row>
    <row r="462" spans="1:12"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J462" s="4"/>
      <c r="K462" s="4"/>
      <c r="L462" s="4"/>
    </row>
    <row r="463" spans="1:12"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J463" s="4"/>
      <c r="K463" s="4"/>
      <c r="L463" s="4"/>
    </row>
    <row r="464" spans="1:12"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J464" s="4"/>
      <c r="K464" s="4"/>
      <c r="L464" s="4"/>
    </row>
    <row r="465" spans="1:12"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J465" s="4"/>
      <c r="K465" s="4"/>
      <c r="L465" s="4"/>
    </row>
    <row r="466" spans="1:12"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J466" s="4"/>
      <c r="K466" s="4"/>
      <c r="L466" s="4"/>
    </row>
    <row r="467" spans="1:12"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J467" s="4"/>
      <c r="K467" s="4"/>
      <c r="L467" s="4"/>
    </row>
    <row r="468" spans="1:12"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J468" s="4"/>
      <c r="K468" s="4"/>
      <c r="L468" s="4"/>
    </row>
    <row r="469" spans="1:12"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J469" s="4"/>
      <c r="K469" s="4"/>
      <c r="L469" s="4"/>
    </row>
    <row r="470" spans="1:12"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J470" s="4"/>
      <c r="K470" s="4"/>
      <c r="L470" s="4"/>
    </row>
    <row r="471" spans="1:12"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J471" s="4"/>
      <c r="K471" s="4"/>
      <c r="L471" s="4"/>
    </row>
    <row r="472" spans="1:12"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J472" s="4"/>
      <c r="K472" s="4"/>
      <c r="L472" s="4"/>
    </row>
    <row r="473" spans="1:12"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J473" s="4"/>
      <c r="K473" s="4"/>
      <c r="L473" s="4"/>
    </row>
    <row r="474" spans="1:12"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J474" s="4"/>
      <c r="K474" s="4"/>
      <c r="L474" s="4"/>
    </row>
    <row r="475" spans="1:12"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J475" s="4"/>
      <c r="K475" s="4"/>
      <c r="L475" s="4"/>
    </row>
    <row r="476" spans="1:12"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J476" s="4"/>
      <c r="K476" s="4"/>
      <c r="L476" s="4"/>
    </row>
    <row r="477" spans="1:12"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J477" s="4"/>
      <c r="K477" s="4"/>
      <c r="L477" s="4"/>
    </row>
    <row r="478" spans="1:12"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J478" s="4"/>
      <c r="K478" s="4"/>
      <c r="L478" s="4"/>
    </row>
    <row r="479" spans="1:12"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J479" s="4"/>
      <c r="K479" s="4"/>
      <c r="L479" s="4"/>
    </row>
    <row r="480" spans="1:12"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J480" s="4"/>
      <c r="K480" s="4"/>
      <c r="L480" s="4"/>
    </row>
    <row r="481" spans="1:12"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J481" s="4"/>
      <c r="K481" s="4"/>
      <c r="L481" s="4"/>
    </row>
    <row r="482" spans="1:12"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J482" s="4"/>
      <c r="K482" s="4"/>
      <c r="L482" s="4"/>
    </row>
    <row r="483" spans="1:12"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J483" s="4"/>
      <c r="K483" s="4"/>
      <c r="L483" s="4"/>
    </row>
    <row r="484" spans="1:12"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J484" s="4"/>
      <c r="K484" s="4"/>
      <c r="L484" s="4"/>
    </row>
    <row r="485" spans="1:12"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J485" s="4"/>
      <c r="K485" s="4"/>
      <c r="L485" s="4"/>
    </row>
    <row r="486" spans="1:12"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J486" s="4"/>
      <c r="K486" s="4"/>
      <c r="L486" s="4"/>
    </row>
    <row r="487" spans="1:12"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J487" s="4"/>
      <c r="K487" s="4"/>
      <c r="L487" s="4"/>
    </row>
    <row r="488" spans="1:12"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J488" s="4"/>
      <c r="K488" s="4"/>
      <c r="L488" s="4"/>
    </row>
    <row r="489" spans="1:12"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J489" s="4"/>
      <c r="K489" s="4"/>
      <c r="L489" s="4"/>
    </row>
    <row r="490" spans="1:12"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J490" s="4"/>
      <c r="K490" s="4"/>
      <c r="L490" s="4"/>
    </row>
    <row r="491" spans="1:12"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J491" s="4"/>
      <c r="K491" s="4"/>
      <c r="L491" s="4"/>
    </row>
    <row r="492" spans="1:12"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J492" s="4"/>
      <c r="K492" s="4"/>
      <c r="L492" s="4"/>
    </row>
    <row r="493" spans="1:12"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J493" s="4"/>
      <c r="K493" s="4"/>
      <c r="L493" s="4"/>
    </row>
    <row r="494" spans="1:12"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J494" s="4"/>
      <c r="K494" s="4"/>
      <c r="L494" s="4"/>
    </row>
    <row r="495" spans="1:12"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J495" s="4"/>
      <c r="K495" s="4"/>
      <c r="L495" s="4"/>
    </row>
    <row r="496" spans="1:12"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J496" s="4"/>
      <c r="K496" s="4"/>
      <c r="L496" s="4"/>
    </row>
    <row r="497" spans="1:12"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J497" s="4"/>
      <c r="K497" s="4"/>
      <c r="L497" s="4"/>
    </row>
    <row r="498" spans="1:12"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J498" s="4"/>
      <c r="K498" s="4"/>
      <c r="L498" s="4"/>
    </row>
    <row r="499" spans="1:12"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J499" s="4"/>
      <c r="K499" s="4"/>
      <c r="L499" s="4"/>
    </row>
    <row r="500" spans="1:12"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J500" s="4"/>
      <c r="K500" s="4"/>
      <c r="L500" s="4"/>
    </row>
    <row r="501" spans="1:12"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J501" s="4"/>
      <c r="K501" s="4"/>
      <c r="L501" s="4"/>
    </row>
    <row r="502" spans="1:12"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J502" s="4"/>
      <c r="K502" s="4"/>
      <c r="L502" s="4"/>
    </row>
    <row r="503" spans="1:12"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J503" s="4"/>
      <c r="K503" s="4"/>
      <c r="L503" s="4"/>
    </row>
    <row r="504" spans="1:12"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J504" s="4"/>
      <c r="K504" s="4"/>
      <c r="L504" s="4"/>
    </row>
    <row r="505" spans="1:12"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J505" s="4"/>
      <c r="K505" s="4"/>
      <c r="L505" s="4"/>
    </row>
    <row r="506" spans="1:12"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J506" s="4"/>
      <c r="K506" s="4"/>
      <c r="L506" s="4"/>
    </row>
    <row r="507" spans="1:12"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J507" s="4"/>
      <c r="K507" s="4"/>
      <c r="L507" s="4"/>
    </row>
    <row r="508" spans="1:12"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J508" s="4"/>
      <c r="K508" s="4"/>
      <c r="L508" s="4"/>
    </row>
    <row r="509" spans="1:12"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J509" s="4"/>
      <c r="K509" s="4"/>
      <c r="L509" s="4"/>
    </row>
    <row r="510" spans="1:12"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J510" s="4"/>
      <c r="K510" s="4"/>
      <c r="L510" s="4"/>
    </row>
    <row r="511" spans="1:12"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J511" s="4"/>
      <c r="K511" s="4"/>
      <c r="L511" s="4"/>
    </row>
    <row r="512" spans="1:12"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J512" s="4"/>
      <c r="K512" s="4"/>
      <c r="L512" s="4"/>
    </row>
    <row r="513" spans="1:12"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J513" s="4"/>
      <c r="K513" s="4"/>
      <c r="L513" s="4"/>
    </row>
    <row r="514" spans="1:12"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J514" s="4"/>
      <c r="K514" s="4"/>
      <c r="L514" s="4"/>
    </row>
    <row r="515" spans="1:12"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J515" s="4"/>
      <c r="K515" s="4"/>
      <c r="L515" s="4"/>
    </row>
    <row r="516" spans="1:12"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J516" s="4"/>
      <c r="K516" s="4"/>
      <c r="L516" s="4"/>
    </row>
    <row r="517" spans="1:12"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J517" s="4"/>
      <c r="K517" s="4"/>
      <c r="L517" s="4"/>
    </row>
    <row r="518" spans="1:12"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J518" s="4"/>
      <c r="K518" s="4"/>
      <c r="L518" s="4"/>
    </row>
    <row r="519" spans="1:12"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J519" s="4"/>
      <c r="K519" s="4"/>
      <c r="L519" s="4"/>
    </row>
    <row r="520" spans="1:12"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J520" s="4"/>
      <c r="K520" s="4"/>
      <c r="L520" s="4"/>
    </row>
    <row r="521" spans="1:12"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J521" s="4"/>
      <c r="K521" s="4"/>
      <c r="L521" s="4"/>
    </row>
    <row r="522" spans="1:12"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J522" s="4"/>
      <c r="K522" s="4"/>
      <c r="L522" s="4"/>
    </row>
    <row r="523" spans="1:12"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J523" s="4"/>
      <c r="K523" s="4"/>
      <c r="L523" s="4"/>
    </row>
    <row r="524" spans="1:12"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J524" s="4"/>
      <c r="K524" s="4"/>
      <c r="L524" s="4"/>
    </row>
    <row r="525" spans="1:12"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J525" s="4"/>
      <c r="K525" s="4"/>
      <c r="L525" s="4"/>
    </row>
    <row r="526" spans="1:12"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J526" s="4"/>
      <c r="K526" s="4"/>
      <c r="L526" s="4"/>
    </row>
    <row r="527" spans="1:12"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J527" s="4"/>
      <c r="K527" s="4"/>
      <c r="L527" s="4"/>
    </row>
    <row r="528" spans="1:12"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J528" s="4"/>
      <c r="K528" s="4"/>
      <c r="L528" s="4"/>
    </row>
    <row r="529" spans="1:12"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J529" s="4"/>
      <c r="K529" s="4"/>
      <c r="L529" s="4"/>
    </row>
    <row r="530" spans="1:12"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J530" s="4"/>
      <c r="K530" s="4"/>
      <c r="L530" s="4"/>
    </row>
    <row r="531" spans="1:12"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J531" s="4"/>
      <c r="K531" s="4"/>
      <c r="L531" s="4"/>
    </row>
    <row r="532" spans="1:12"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J532" s="4"/>
      <c r="K532" s="4"/>
      <c r="L532" s="4"/>
    </row>
    <row r="533" spans="1:12"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J533" s="4"/>
      <c r="K533" s="4"/>
      <c r="L533" s="4"/>
    </row>
    <row r="534" spans="1:12"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J534" s="4"/>
      <c r="K534" s="4"/>
      <c r="L534" s="4"/>
    </row>
    <row r="535" spans="1:12"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J535" s="4"/>
      <c r="K535" s="4"/>
      <c r="L535" s="4"/>
    </row>
    <row r="536" spans="1:12"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J536" s="4"/>
      <c r="K536" s="4"/>
      <c r="L536" s="4"/>
    </row>
    <row r="537" spans="1:12"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J537" s="4"/>
      <c r="K537" s="4"/>
      <c r="L537" s="4"/>
    </row>
    <row r="538" spans="1:12"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J538" s="4"/>
      <c r="K538" s="4"/>
      <c r="L538" s="4"/>
    </row>
    <row r="539" spans="1:12"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J539" s="4"/>
      <c r="K539" s="4"/>
      <c r="L539" s="4"/>
    </row>
    <row r="540" spans="1:12"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J540" s="4"/>
      <c r="K540" s="4"/>
      <c r="L540" s="4"/>
    </row>
    <row r="541" spans="1:12"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J541" s="4"/>
      <c r="K541" s="4"/>
      <c r="L541" s="4"/>
    </row>
    <row r="542" spans="1:12"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J542" s="4"/>
      <c r="K542" s="4"/>
      <c r="L542" s="4"/>
    </row>
    <row r="543" spans="1:12"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J543" s="4"/>
      <c r="K543" s="4"/>
      <c r="L543" s="4"/>
    </row>
    <row r="544" spans="1:12"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J544" s="4"/>
      <c r="K544" s="4"/>
      <c r="L544" s="4"/>
    </row>
    <row r="545" spans="1:12"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J545" s="4"/>
      <c r="K545" s="4"/>
      <c r="L545" s="4"/>
    </row>
    <row r="546" spans="1:12"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J546" s="4"/>
      <c r="K546" s="4"/>
      <c r="L546" s="4"/>
    </row>
    <row r="547" spans="1:12"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J547" s="4"/>
      <c r="K547" s="4"/>
      <c r="L547" s="4"/>
    </row>
    <row r="548" spans="1:12"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J548" s="4"/>
      <c r="K548" s="4"/>
      <c r="L548" s="4"/>
    </row>
    <row r="549" spans="1:12"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J549" s="4"/>
      <c r="K549" s="4"/>
      <c r="L549" s="4"/>
    </row>
    <row r="550" spans="1:12"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J550" s="4"/>
      <c r="K550" s="4"/>
      <c r="L550" s="4"/>
    </row>
    <row r="551" spans="1:12"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J551" s="4"/>
      <c r="K551" s="4"/>
      <c r="L551" s="4"/>
    </row>
    <row r="552" spans="1:12"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J552" s="4"/>
      <c r="K552" s="4"/>
      <c r="L552" s="4"/>
    </row>
    <row r="553" spans="1:12"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J553" s="4"/>
      <c r="K553" s="4"/>
      <c r="L553" s="4"/>
    </row>
    <row r="554" spans="1:12"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J554" s="4"/>
      <c r="K554" s="4"/>
      <c r="L554" s="4"/>
    </row>
    <row r="555" spans="1:12"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J555" s="4"/>
      <c r="K555" s="4"/>
      <c r="L555" s="4"/>
    </row>
    <row r="556" spans="1:12"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J556" s="4"/>
      <c r="K556" s="4"/>
      <c r="L556" s="4"/>
    </row>
    <row r="557" spans="1:12"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J557" s="4"/>
      <c r="K557" s="4"/>
      <c r="L557" s="4"/>
    </row>
    <row r="558" spans="1:12"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J558" s="4"/>
      <c r="K558" s="4"/>
      <c r="L558" s="4"/>
    </row>
    <row r="559" spans="1:12"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J559" s="4"/>
      <c r="K559" s="4"/>
      <c r="L559" s="4"/>
    </row>
    <row r="560" spans="1:12"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J560" s="4"/>
      <c r="K560" s="4"/>
      <c r="L560" s="4"/>
    </row>
    <row r="561" spans="1:12"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J561" s="4"/>
      <c r="K561" s="4"/>
      <c r="L561" s="4"/>
    </row>
    <row r="562" spans="1:12"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J562" s="4"/>
      <c r="K562" s="4"/>
      <c r="L562" s="4"/>
    </row>
    <row r="563" spans="1:12"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J563" s="4"/>
      <c r="K563" s="4"/>
      <c r="L563" s="4"/>
    </row>
    <row r="564" spans="1:12"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J564" s="4"/>
      <c r="K564" s="4"/>
      <c r="L564" s="4"/>
    </row>
    <row r="565" spans="1:12"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J565" s="4"/>
      <c r="K565" s="4"/>
      <c r="L565" s="4"/>
    </row>
    <row r="566" spans="1:12"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J566" s="4"/>
      <c r="K566" s="4"/>
      <c r="L566" s="4"/>
    </row>
    <row r="567" spans="1:12"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J567" s="4"/>
      <c r="K567" s="4"/>
      <c r="L567" s="4"/>
    </row>
    <row r="568" spans="1:12"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J568" s="4"/>
      <c r="K568" s="4"/>
      <c r="L568" s="4"/>
    </row>
    <row r="569" spans="1:12"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J569" s="4"/>
      <c r="K569" s="4"/>
      <c r="L569" s="4"/>
    </row>
    <row r="570" spans="1:12"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J570" s="4"/>
      <c r="K570" s="4"/>
      <c r="L570" s="4"/>
    </row>
    <row r="571" spans="1:12"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J571" s="4"/>
      <c r="K571" s="4"/>
      <c r="L571" s="4"/>
    </row>
    <row r="572" spans="1:12"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J572" s="4"/>
      <c r="K572" s="4"/>
      <c r="L572" s="4"/>
    </row>
    <row r="573" spans="1:12"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J573" s="4"/>
      <c r="K573" s="4"/>
      <c r="L573" s="4"/>
    </row>
    <row r="574" spans="1:12"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J574" s="4"/>
      <c r="K574" s="4"/>
      <c r="L574" s="4"/>
    </row>
    <row r="575" spans="1:12"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J575" s="4"/>
      <c r="K575" s="4"/>
      <c r="L575" s="4"/>
    </row>
    <row r="576" spans="1:12"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J576" s="4"/>
      <c r="K576" s="4"/>
      <c r="L576" s="4"/>
    </row>
    <row r="577" spans="1:12"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J577" s="4"/>
      <c r="K577" s="4"/>
      <c r="L577" s="4"/>
    </row>
    <row r="578" spans="1:12"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J578" s="4"/>
      <c r="K578" s="4"/>
      <c r="L578" s="4"/>
    </row>
    <row r="579" spans="1:12"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J579" s="4"/>
      <c r="K579" s="4"/>
      <c r="L579" s="4"/>
    </row>
    <row r="580" spans="1:12"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J580" s="4"/>
      <c r="K580" s="4"/>
      <c r="L580" s="4"/>
    </row>
    <row r="581" spans="1:12"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J581" s="4"/>
      <c r="K581" s="4"/>
      <c r="L581" s="4"/>
    </row>
    <row r="582" spans="1:12"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J582" s="4"/>
      <c r="K582" s="4"/>
      <c r="L582" s="4"/>
    </row>
    <row r="583" spans="1:12"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J583" s="4"/>
      <c r="K583" s="4"/>
      <c r="L583" s="4"/>
    </row>
    <row r="584" spans="1:12"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J584" s="4"/>
      <c r="K584" s="4"/>
      <c r="L584" s="4"/>
    </row>
    <row r="585" spans="1:12"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J585" s="4"/>
      <c r="K585" s="4"/>
      <c r="L585" s="4"/>
    </row>
    <row r="586" spans="1:12"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J586" s="4"/>
      <c r="K586" s="4"/>
      <c r="L586" s="4"/>
    </row>
    <row r="587" spans="1:12"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J587" s="4"/>
      <c r="K587" s="4"/>
      <c r="L587" s="4"/>
    </row>
    <row r="588" spans="1:12"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J588" s="4"/>
      <c r="K588" s="4"/>
      <c r="L588" s="4"/>
    </row>
    <row r="589" spans="1:12"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J589" s="4"/>
      <c r="K589" s="4"/>
      <c r="L589" s="4"/>
    </row>
    <row r="590" spans="1:12"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J590" s="4"/>
      <c r="K590" s="4"/>
      <c r="L590" s="4"/>
    </row>
    <row r="591" spans="1:12"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J591" s="4"/>
      <c r="K591" s="4"/>
      <c r="L591" s="4"/>
    </row>
    <row r="592" spans="1:12"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J592" s="4"/>
      <c r="K592" s="4"/>
      <c r="L592" s="4"/>
    </row>
    <row r="593" spans="1:12"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J593" s="4"/>
      <c r="K593" s="4"/>
      <c r="L593" s="4"/>
    </row>
    <row r="594" spans="1:12"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J594" s="4"/>
      <c r="K594" s="4"/>
      <c r="L594" s="4"/>
    </row>
    <row r="595" spans="1:12"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J595" s="4"/>
      <c r="K595" s="4"/>
      <c r="L595" s="4"/>
    </row>
    <row r="596" spans="1:12"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J596" s="4"/>
      <c r="K596" s="4"/>
      <c r="L596" s="4"/>
    </row>
    <row r="597" spans="1:12"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J597" s="4"/>
      <c r="K597" s="4"/>
      <c r="L597" s="4"/>
    </row>
    <row r="598" spans="1:12"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J598" s="4"/>
      <c r="K598" s="4"/>
      <c r="L598" s="4"/>
    </row>
    <row r="599" spans="1:12"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J599" s="4"/>
      <c r="K599" s="4"/>
      <c r="L599" s="4"/>
    </row>
    <row r="600" spans="1:12"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J600" s="4"/>
      <c r="K600" s="4"/>
      <c r="L600" s="4"/>
    </row>
    <row r="601" spans="1:12"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J601" s="4"/>
      <c r="K601" s="4"/>
      <c r="L601" s="4"/>
    </row>
    <row r="602" spans="1:12"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J602" s="4"/>
      <c r="K602" s="4"/>
      <c r="L602" s="4"/>
    </row>
    <row r="603" spans="1:12"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J603" s="4"/>
      <c r="K603" s="4"/>
      <c r="L603" s="4"/>
    </row>
    <row r="604" spans="1:12"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J604" s="4"/>
      <c r="K604" s="4"/>
      <c r="L604" s="4"/>
    </row>
    <row r="605" spans="1:12"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J605" s="4"/>
      <c r="K605" s="4"/>
      <c r="L605" s="4"/>
    </row>
    <row r="606" spans="1:12"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J606" s="4"/>
      <c r="K606" s="4"/>
      <c r="L606" s="4"/>
    </row>
    <row r="607" spans="1:12"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J607" s="4"/>
      <c r="K607" s="4"/>
      <c r="L607" s="4"/>
    </row>
    <row r="608" spans="1:12"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J608" s="4"/>
      <c r="K608" s="4"/>
      <c r="L608" s="4"/>
    </row>
    <row r="609" spans="1:12"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J609" s="4"/>
      <c r="K609" s="4"/>
      <c r="L609" s="4"/>
    </row>
    <row r="610" spans="1:12"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J610" s="4"/>
      <c r="K610" s="4"/>
      <c r="L610" s="4"/>
    </row>
    <row r="611" spans="1:12"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J611" s="4"/>
      <c r="K611" s="4"/>
      <c r="L611" s="4"/>
    </row>
    <row r="612" spans="1:12"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J612" s="4"/>
      <c r="K612" s="4"/>
      <c r="L612" s="4"/>
    </row>
    <row r="613" spans="1:12"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J613" s="4"/>
      <c r="K613" s="4"/>
      <c r="L613" s="4"/>
    </row>
    <row r="614" spans="1:12"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J614" s="4"/>
      <c r="K614" s="4"/>
      <c r="L614" s="4"/>
    </row>
    <row r="615" spans="1:12"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J615" s="4"/>
      <c r="K615" s="4"/>
      <c r="L615" s="4"/>
    </row>
    <row r="616" spans="1:12"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J616" s="4"/>
      <c r="K616" s="4"/>
      <c r="L616" s="4"/>
    </row>
    <row r="617" spans="1:12"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J617" s="4"/>
      <c r="K617" s="4"/>
      <c r="L617" s="4"/>
    </row>
    <row r="618" spans="1:12"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J618" s="4"/>
      <c r="K618" s="4"/>
      <c r="L618" s="4"/>
    </row>
    <row r="619" spans="1:12"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J619" s="4"/>
      <c r="K619" s="4"/>
      <c r="L619" s="4"/>
    </row>
    <row r="620" spans="1:12"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J620" s="4"/>
      <c r="K620" s="4"/>
      <c r="L620" s="4"/>
    </row>
    <row r="621" spans="1:12"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J621" s="4"/>
      <c r="K621" s="4"/>
      <c r="L621" s="4"/>
    </row>
    <row r="622" spans="1:12"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J622" s="4"/>
      <c r="K622" s="4"/>
      <c r="L622" s="4"/>
    </row>
    <row r="623" spans="1:12"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J623" s="4"/>
      <c r="K623" s="4"/>
      <c r="L623" s="4"/>
    </row>
    <row r="624" spans="1:12"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J624" s="4"/>
      <c r="K624" s="4"/>
      <c r="L624" s="4"/>
    </row>
    <row r="625" spans="1:12"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J625" s="4"/>
      <c r="K625" s="4"/>
      <c r="L625" s="4"/>
    </row>
    <row r="626" spans="1:12"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J626" s="4"/>
      <c r="K626" s="4"/>
      <c r="L626" s="4"/>
    </row>
    <row r="627" spans="1:12"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J627" s="4"/>
      <c r="K627" s="4"/>
      <c r="L627" s="4"/>
    </row>
    <row r="628" spans="1:12"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J628" s="4"/>
      <c r="K628" s="4"/>
      <c r="L628" s="4"/>
    </row>
    <row r="629" spans="1:12"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J629" s="4"/>
      <c r="K629" s="4"/>
      <c r="L629" s="4"/>
    </row>
    <row r="630" spans="1:12"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J630" s="4"/>
      <c r="K630" s="4"/>
      <c r="L630" s="4"/>
    </row>
    <row r="631" spans="1:12"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J631" s="4"/>
      <c r="K631" s="4"/>
      <c r="L631" s="4"/>
    </row>
    <row r="632" spans="1:12"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J632" s="4"/>
      <c r="K632" s="4"/>
      <c r="L632" s="4"/>
    </row>
    <row r="633" spans="1:12"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J633" s="4"/>
      <c r="K633" s="4"/>
      <c r="L633" s="4"/>
    </row>
    <row r="634" spans="1:12"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J634" s="4"/>
      <c r="K634" s="4"/>
      <c r="L634" s="4"/>
    </row>
    <row r="635" spans="1:12"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J635" s="4"/>
      <c r="K635" s="4"/>
      <c r="L635" s="4"/>
    </row>
    <row r="636" spans="1:12"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J636" s="4"/>
      <c r="K636" s="4"/>
      <c r="L636" s="4"/>
    </row>
    <row r="637" spans="1:12"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J637" s="4"/>
      <c r="K637" s="4"/>
      <c r="L637" s="4"/>
    </row>
    <row r="638" spans="1:12"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J638" s="4"/>
      <c r="K638" s="4"/>
      <c r="L638" s="4"/>
    </row>
    <row r="639" spans="1:12"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J639" s="4"/>
      <c r="K639" s="4"/>
      <c r="L639" s="4"/>
    </row>
    <row r="640" spans="1:12"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J640" s="4"/>
      <c r="K640" s="4"/>
      <c r="L640" s="4"/>
    </row>
    <row r="641" spans="1:12"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J641" s="4"/>
      <c r="K641" s="4"/>
      <c r="L641" s="4"/>
    </row>
    <row r="642" spans="1:12"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J642" s="4"/>
      <c r="K642" s="4"/>
      <c r="L642" s="4"/>
    </row>
    <row r="643" spans="1:12"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J643" s="4"/>
      <c r="K643" s="4"/>
      <c r="L643" s="4"/>
    </row>
    <row r="644" spans="1:12"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J644" s="4"/>
      <c r="K644" s="4"/>
      <c r="L644" s="4"/>
    </row>
    <row r="645" spans="1:12"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J645" s="4"/>
      <c r="K645" s="4"/>
      <c r="L645" s="4"/>
    </row>
    <row r="646" spans="1:12"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J646" s="4"/>
      <c r="K646" s="4"/>
      <c r="L646" s="4"/>
    </row>
    <row r="647" spans="1:12"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J647" s="4"/>
      <c r="K647" s="4"/>
      <c r="L647" s="4"/>
    </row>
    <row r="648" spans="1:12"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J648" s="4"/>
      <c r="K648" s="4"/>
      <c r="L648" s="4"/>
    </row>
    <row r="649" spans="1:12"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J649" s="4"/>
      <c r="K649" s="4"/>
      <c r="L649" s="4"/>
    </row>
    <row r="650" spans="1:12"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J650" s="4"/>
      <c r="K650" s="4"/>
      <c r="L650" s="4"/>
    </row>
    <row r="651" spans="1:12"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J651" s="4"/>
      <c r="K651" s="4"/>
      <c r="L651" s="4"/>
    </row>
    <row r="652" spans="1:12"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J652" s="4"/>
      <c r="K652" s="4"/>
      <c r="L652" s="4"/>
    </row>
    <row r="653" spans="1:12"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J653" s="4"/>
      <c r="K653" s="4"/>
      <c r="L653" s="4"/>
    </row>
    <row r="654" spans="1:12"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J654" s="4"/>
      <c r="K654" s="4"/>
      <c r="L654" s="4"/>
    </row>
    <row r="655" spans="1:12"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J655" s="4"/>
      <c r="K655" s="4"/>
      <c r="L655" s="4"/>
    </row>
    <row r="656" spans="1:12"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J656" s="4"/>
      <c r="K656" s="4"/>
      <c r="L656" s="4"/>
    </row>
    <row r="657" spans="1:12"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J657" s="4"/>
      <c r="K657" s="4"/>
      <c r="L657" s="4"/>
    </row>
    <row r="658" spans="1:12"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J658" s="4"/>
      <c r="K658" s="4"/>
      <c r="L658" s="4"/>
    </row>
    <row r="659" spans="1:12"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J659" s="4"/>
      <c r="K659" s="4"/>
      <c r="L659" s="4"/>
    </row>
    <row r="660" spans="1:12"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J660" s="4"/>
      <c r="K660" s="4"/>
      <c r="L660" s="4"/>
    </row>
    <row r="661" spans="1:12"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J661" s="4"/>
      <c r="K661" s="4"/>
      <c r="L661" s="4"/>
    </row>
    <row r="662" spans="1:12"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J662" s="4"/>
      <c r="K662" s="4"/>
      <c r="L662" s="4"/>
    </row>
    <row r="663" spans="1:12"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J663" s="4"/>
      <c r="K663" s="4"/>
      <c r="L663" s="4"/>
    </row>
    <row r="664" spans="1:12"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J664" s="4"/>
      <c r="K664" s="4"/>
      <c r="L664" s="4"/>
    </row>
    <row r="665" spans="1:12"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J665" s="4"/>
      <c r="K665" s="4"/>
      <c r="L665" s="4"/>
    </row>
    <row r="666" spans="1:12"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J666" s="4"/>
      <c r="K666" s="4"/>
      <c r="L666" s="4"/>
    </row>
    <row r="667" spans="1:12"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J667" s="4"/>
      <c r="K667" s="4"/>
      <c r="L667" s="4"/>
    </row>
    <row r="668" spans="1:12"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J668" s="4"/>
      <c r="K668" s="4"/>
      <c r="L668" s="4"/>
    </row>
    <row r="669" spans="1:12"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J669" s="4"/>
      <c r="K669" s="4"/>
      <c r="L669" s="4"/>
    </row>
    <row r="670" spans="1:12"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J670" s="4"/>
      <c r="K670" s="4"/>
      <c r="L670" s="4"/>
    </row>
    <row r="671" spans="1:12"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J671" s="4"/>
      <c r="K671" s="4"/>
      <c r="L671" s="4"/>
    </row>
    <row r="672" spans="1:12"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J672" s="4"/>
      <c r="K672" s="4"/>
      <c r="L672" s="4"/>
    </row>
    <row r="673" spans="1:12"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J673" s="4"/>
      <c r="K673" s="4"/>
      <c r="L673" s="4"/>
    </row>
    <row r="674" spans="1:12"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J674" s="4"/>
      <c r="K674" s="4"/>
      <c r="L674" s="4"/>
    </row>
    <row r="675" spans="1:12"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J675" s="4"/>
      <c r="K675" s="4"/>
      <c r="L675" s="4"/>
    </row>
    <row r="676" spans="1:12"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J676" s="4"/>
      <c r="K676" s="4"/>
      <c r="L676" s="4"/>
    </row>
    <row r="677" spans="1:12"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J677" s="4"/>
      <c r="K677" s="4"/>
      <c r="L677" s="4"/>
    </row>
    <row r="678" spans="1:12"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J678" s="4"/>
      <c r="K678" s="4"/>
      <c r="L678" s="4"/>
    </row>
    <row r="679" spans="1:12"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J679" s="4"/>
      <c r="K679" s="4"/>
      <c r="L679" s="4"/>
    </row>
    <row r="680" spans="1:12"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J680" s="4"/>
      <c r="K680" s="4"/>
      <c r="L680" s="4"/>
    </row>
    <row r="681" spans="1:12"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J681" s="4"/>
      <c r="K681" s="4"/>
      <c r="L681" s="4"/>
    </row>
    <row r="682" spans="1:12"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J682" s="4"/>
      <c r="K682" s="4"/>
      <c r="L682" s="4"/>
    </row>
    <row r="683" spans="1:12"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J683" s="4"/>
      <c r="K683" s="4"/>
      <c r="L683" s="4"/>
    </row>
    <row r="684" spans="1:12"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J684" s="4"/>
      <c r="K684" s="4"/>
      <c r="L684" s="4"/>
    </row>
    <row r="685" spans="1:12"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J685" s="4"/>
      <c r="K685" s="4"/>
      <c r="L685" s="4"/>
    </row>
    <row r="686" spans="1:12"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J686" s="4"/>
      <c r="K686" s="4"/>
      <c r="L686" s="4"/>
    </row>
    <row r="687" spans="1:12"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J687" s="4"/>
      <c r="K687" s="4"/>
      <c r="L687" s="4"/>
    </row>
    <row r="688" spans="1:12"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J688" s="4"/>
      <c r="K688" s="4"/>
      <c r="L688" s="4"/>
    </row>
    <row r="689" spans="1:12"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J689" s="4"/>
      <c r="K689" s="4"/>
      <c r="L689" s="4"/>
    </row>
    <row r="690" spans="1:12"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J690" s="4"/>
      <c r="K690" s="4"/>
      <c r="L690" s="4"/>
    </row>
    <row r="691" spans="1:12"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J691" s="4"/>
      <c r="K691" s="4"/>
      <c r="L691" s="4"/>
    </row>
    <row r="692" spans="1:12"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J692" s="4"/>
      <c r="K692" s="4"/>
      <c r="L692" s="4"/>
    </row>
    <row r="693" spans="1:12"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J693" s="4"/>
      <c r="K693" s="4"/>
      <c r="L693" s="4"/>
    </row>
    <row r="694" spans="1:12"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J694" s="4"/>
      <c r="K694" s="4"/>
      <c r="L694" s="4"/>
    </row>
    <row r="695" spans="1:12"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J695" s="4"/>
      <c r="K695" s="4"/>
      <c r="L695" s="4"/>
    </row>
    <row r="696" spans="1:12"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J696" s="4"/>
      <c r="K696" s="4"/>
      <c r="L696" s="4"/>
    </row>
    <row r="697" spans="1:12"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J697" s="4"/>
      <c r="K697" s="4"/>
      <c r="L697" s="4"/>
    </row>
    <row r="698" spans="1:12"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J698" s="4"/>
      <c r="K698" s="4"/>
      <c r="L698" s="4"/>
    </row>
    <row r="699" spans="1:12"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J699" s="4"/>
      <c r="K699" s="4"/>
      <c r="L699" s="4"/>
    </row>
    <row r="700" spans="1:12"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J700" s="4"/>
      <c r="K700" s="4"/>
      <c r="L700" s="4"/>
    </row>
    <row r="701" spans="1:12"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J701" s="4"/>
      <c r="K701" s="4"/>
      <c r="L701" s="4"/>
    </row>
    <row r="702" spans="1:12"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J702" s="4"/>
      <c r="K702" s="4"/>
      <c r="L702" s="4"/>
    </row>
    <row r="703" spans="1:12"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J703" s="4"/>
      <c r="K703" s="4"/>
      <c r="L703" s="4"/>
    </row>
    <row r="704" spans="1:12"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J704" s="4"/>
      <c r="K704" s="4"/>
      <c r="L704" s="4"/>
    </row>
    <row r="705" spans="1:12"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J705" s="4"/>
      <c r="K705" s="4"/>
      <c r="L705" s="4"/>
    </row>
    <row r="706" spans="1:12"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J706" s="4"/>
      <c r="K706" s="4"/>
      <c r="L706" s="4"/>
    </row>
    <row r="707" spans="1:12"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J707" s="4"/>
      <c r="K707" s="4"/>
      <c r="L707" s="4"/>
    </row>
    <row r="708" spans="1:12"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J708" s="4"/>
      <c r="K708" s="4"/>
      <c r="L708" s="4"/>
    </row>
    <row r="709" spans="1:12"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J709" s="4"/>
      <c r="K709" s="4"/>
      <c r="L709" s="4"/>
    </row>
    <row r="710" spans="1:12"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J710" s="4"/>
      <c r="K710" s="4"/>
      <c r="L710" s="4"/>
    </row>
    <row r="711" spans="1:12"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J711" s="4"/>
      <c r="K711" s="4"/>
      <c r="L711" s="4"/>
    </row>
    <row r="712" spans="1:12"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J712" s="4"/>
      <c r="K712" s="4"/>
      <c r="L712" s="4"/>
    </row>
    <row r="713" spans="1:12"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J713" s="4"/>
      <c r="K713" s="4"/>
      <c r="L713" s="4"/>
    </row>
    <row r="714" spans="1:12"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J714" s="4"/>
      <c r="K714" s="4"/>
      <c r="L714" s="4"/>
    </row>
    <row r="715" spans="1:12"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J715" s="4"/>
      <c r="K715" s="4"/>
      <c r="L715" s="4"/>
    </row>
    <row r="716" spans="1:12"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J716" s="4"/>
      <c r="K716" s="4"/>
      <c r="L716" s="4"/>
    </row>
    <row r="717" spans="1:12"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J717" s="4"/>
      <c r="K717" s="4"/>
      <c r="L717" s="4"/>
    </row>
    <row r="718" spans="1:12"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J718" s="4"/>
      <c r="K718" s="4"/>
      <c r="L718" s="4"/>
    </row>
    <row r="719" spans="1:12"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J719" s="4"/>
      <c r="K719" s="4"/>
      <c r="L719" s="4"/>
    </row>
    <row r="720" spans="1:12"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J720" s="4"/>
      <c r="K720" s="4"/>
      <c r="L720" s="4"/>
    </row>
    <row r="721" spans="1:12"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J721" s="4"/>
      <c r="K721" s="4"/>
      <c r="L721" s="4"/>
    </row>
    <row r="722" spans="1:12"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J722" s="4"/>
      <c r="K722" s="4"/>
      <c r="L722" s="4"/>
    </row>
    <row r="723" spans="1:12"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J723" s="4"/>
      <c r="K723" s="4"/>
      <c r="L723" s="4"/>
    </row>
    <row r="724" spans="1:12"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J724" s="4"/>
      <c r="K724" s="4"/>
      <c r="L724" s="4"/>
    </row>
    <row r="725" spans="1:12"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J725" s="4"/>
      <c r="K725" s="4"/>
      <c r="L725" s="4"/>
    </row>
    <row r="726" spans="1:12"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J726" s="4"/>
      <c r="K726" s="4"/>
      <c r="L726" s="4"/>
    </row>
    <row r="727" spans="1:12"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J727" s="4"/>
      <c r="K727" s="4"/>
      <c r="L727" s="4"/>
    </row>
    <row r="728" spans="1:12"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J728" s="4"/>
      <c r="K728" s="4"/>
      <c r="L728" s="4"/>
    </row>
    <row r="729" spans="1:12"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J729" s="4"/>
      <c r="K729" s="4"/>
      <c r="L729" s="4"/>
    </row>
    <row r="730" spans="1:12"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J730" s="4"/>
      <c r="K730" s="4"/>
      <c r="L730" s="4"/>
    </row>
    <row r="731" spans="1:12"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J731" s="4"/>
      <c r="K731" s="4"/>
      <c r="L731" s="4"/>
    </row>
    <row r="732" spans="1:12"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J732" s="4"/>
      <c r="K732" s="4"/>
      <c r="L732" s="4"/>
    </row>
    <row r="733" spans="1:12"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J733" s="4"/>
      <c r="K733" s="4"/>
      <c r="L733" s="4"/>
    </row>
    <row r="734" spans="1:12"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J734" s="4"/>
      <c r="K734" s="4"/>
      <c r="L734" s="4"/>
    </row>
    <row r="735" spans="1:12"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J735" s="4"/>
      <c r="K735" s="4"/>
      <c r="L735" s="4"/>
    </row>
    <row r="736" spans="1:12"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J736" s="4"/>
      <c r="K736" s="4"/>
      <c r="L736" s="4"/>
    </row>
    <row r="737" spans="1:12"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J737" s="4"/>
      <c r="K737" s="4"/>
      <c r="L737" s="4"/>
    </row>
    <row r="738" spans="1:12"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J738" s="4"/>
      <c r="K738" s="4"/>
      <c r="L738" s="4"/>
    </row>
    <row r="739" spans="1:12"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J739" s="4"/>
      <c r="K739" s="4"/>
      <c r="L739" s="4"/>
    </row>
    <row r="740" spans="1:12"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J740" s="4"/>
      <c r="K740" s="4"/>
      <c r="L740" s="4"/>
    </row>
    <row r="741" spans="1:12"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J741" s="4"/>
      <c r="K741" s="4"/>
      <c r="L741" s="4"/>
    </row>
    <row r="742" spans="1:12"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J742" s="4"/>
      <c r="K742" s="4"/>
      <c r="L742" s="4"/>
    </row>
    <row r="743" spans="1:12"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J743" s="4"/>
      <c r="K743" s="4"/>
      <c r="L743" s="4"/>
    </row>
    <row r="744" spans="1:12"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J744" s="4"/>
      <c r="K744" s="4"/>
      <c r="L744" s="4"/>
    </row>
    <row r="745" spans="1:12"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J745" s="4"/>
      <c r="K745" s="4"/>
      <c r="L745" s="4"/>
    </row>
    <row r="746" spans="1:12"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J746" s="4"/>
      <c r="K746" s="4"/>
      <c r="L746" s="4"/>
    </row>
    <row r="747" spans="1:12"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J747" s="4"/>
      <c r="K747" s="4"/>
      <c r="L747" s="4"/>
    </row>
    <row r="748" spans="1:12"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J748" s="4"/>
      <c r="K748" s="4"/>
      <c r="L748" s="4"/>
    </row>
    <row r="749" spans="1:12"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J749" s="4"/>
      <c r="K749" s="4"/>
      <c r="L749" s="4"/>
    </row>
    <row r="750" spans="1:12"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J750" s="4"/>
      <c r="K750" s="4"/>
      <c r="L750" s="4"/>
    </row>
    <row r="751" spans="1:12"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J751" s="4"/>
      <c r="K751" s="4"/>
      <c r="L751" s="4"/>
    </row>
    <row r="752" spans="1:12"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J752" s="4"/>
      <c r="K752" s="4"/>
      <c r="L752" s="4"/>
    </row>
    <row r="753" spans="1:12"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J753" s="4"/>
      <c r="K753" s="4"/>
      <c r="L753" s="4"/>
    </row>
    <row r="754" spans="1:12"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J754" s="4"/>
      <c r="K754" s="4"/>
      <c r="L754" s="4"/>
    </row>
    <row r="755" spans="1:12"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J755" s="4"/>
      <c r="K755" s="4"/>
      <c r="L755" s="4"/>
    </row>
    <row r="756" spans="1:12"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J756" s="4"/>
      <c r="K756" s="4"/>
      <c r="L756" s="4"/>
    </row>
    <row r="757" spans="1:12"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J757" s="4"/>
      <c r="K757" s="4"/>
      <c r="L757" s="4"/>
    </row>
    <row r="758" spans="1:12"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J758" s="4"/>
      <c r="K758" s="4"/>
      <c r="L758" s="4"/>
    </row>
    <row r="759" spans="1:12"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J759" s="4"/>
      <c r="K759" s="4"/>
      <c r="L759" s="4"/>
    </row>
    <row r="760" spans="1:12"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J760" s="4"/>
      <c r="K760" s="4"/>
      <c r="L760" s="4"/>
    </row>
    <row r="761" spans="1:12"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J761" s="4"/>
      <c r="K761" s="4"/>
      <c r="L761" s="4"/>
    </row>
    <row r="762" spans="1:12"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J762" s="4"/>
      <c r="K762" s="4"/>
      <c r="L762" s="4"/>
    </row>
    <row r="763" spans="1:12"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J763" s="4"/>
      <c r="K763" s="4"/>
      <c r="L763" s="4"/>
    </row>
    <row r="764" spans="1:12"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J764" s="4"/>
      <c r="K764" s="4"/>
      <c r="L764" s="4"/>
    </row>
    <row r="765" spans="1:12"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J765" s="4"/>
      <c r="K765" s="4"/>
      <c r="L765" s="4"/>
    </row>
    <row r="766" spans="1:12"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J766" s="4"/>
      <c r="K766" s="4"/>
      <c r="L766" s="4"/>
    </row>
    <row r="767" spans="1:12"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J767" s="4"/>
      <c r="K767" s="4"/>
      <c r="L767" s="4"/>
    </row>
    <row r="768" spans="1:12"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J768" s="4"/>
      <c r="K768" s="4"/>
      <c r="L768" s="4"/>
    </row>
    <row r="769" spans="1:12"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J769" s="4"/>
      <c r="K769" s="4"/>
      <c r="L769" s="4"/>
    </row>
    <row r="770" spans="1:12"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J770" s="4"/>
      <c r="K770" s="4"/>
      <c r="L770" s="4"/>
    </row>
    <row r="771" spans="1:12"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J771" s="4"/>
      <c r="K771" s="4"/>
      <c r="L771" s="4"/>
    </row>
    <row r="772" spans="1:12"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J772" s="4"/>
      <c r="K772" s="4"/>
      <c r="L772" s="4"/>
    </row>
    <row r="773" spans="1:12"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J773" s="4"/>
      <c r="K773" s="4"/>
      <c r="L773" s="4"/>
    </row>
    <row r="774" spans="1:12"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J774" s="4"/>
      <c r="K774" s="4"/>
      <c r="L774" s="4"/>
    </row>
    <row r="775" spans="1:12"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J775" s="4"/>
      <c r="K775" s="4"/>
      <c r="L775" s="4"/>
    </row>
    <row r="776" spans="1:12"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J776" s="4"/>
      <c r="K776" s="4"/>
      <c r="L776" s="4"/>
    </row>
    <row r="777" spans="1:12"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J777" s="4"/>
      <c r="K777" s="4"/>
      <c r="L777" s="4"/>
    </row>
    <row r="778" spans="1:12"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J778" s="4"/>
      <c r="K778" s="4"/>
      <c r="L778" s="4"/>
    </row>
    <row r="779" spans="1:12"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J779" s="4"/>
      <c r="K779" s="4"/>
      <c r="L779" s="4"/>
    </row>
    <row r="780" spans="1:12"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J780" s="4"/>
      <c r="K780" s="4"/>
      <c r="L780" s="4"/>
    </row>
    <row r="781" spans="1:12"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J781" s="4"/>
      <c r="K781" s="4"/>
      <c r="L781" s="4"/>
    </row>
    <row r="782" spans="1:12"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J782" s="4"/>
      <c r="K782" s="4"/>
      <c r="L782" s="4"/>
    </row>
    <row r="783" spans="1:12"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J783" s="4"/>
      <c r="K783" s="4"/>
      <c r="L783" s="4"/>
    </row>
    <row r="784" spans="1:12"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J784" s="4"/>
      <c r="K784" s="4"/>
      <c r="L784" s="4"/>
    </row>
    <row r="785" spans="1:12"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J785" s="4"/>
      <c r="K785" s="4"/>
      <c r="L785" s="4"/>
    </row>
    <row r="786" spans="1:12"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J786" s="4"/>
      <c r="K786" s="4"/>
      <c r="L786" s="4"/>
    </row>
    <row r="787" spans="1:12"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J787" s="4"/>
      <c r="K787" s="4"/>
      <c r="L787" s="4"/>
    </row>
    <row r="788" spans="1:12"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J788" s="4"/>
      <c r="K788" s="4"/>
      <c r="L788" s="4"/>
    </row>
    <row r="789" spans="1:12"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J789" s="4"/>
      <c r="K789" s="4"/>
      <c r="L789" s="4"/>
    </row>
    <row r="790" spans="1:12"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J790" s="4"/>
      <c r="K790" s="4"/>
      <c r="L790" s="4"/>
    </row>
    <row r="791" spans="1:12"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J791" s="4"/>
      <c r="K791" s="4"/>
      <c r="L791" s="4"/>
    </row>
    <row r="792" spans="1:12"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J792" s="4"/>
      <c r="K792" s="4"/>
      <c r="L792" s="4"/>
    </row>
    <row r="793" spans="1:12"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J793" s="4"/>
      <c r="K793" s="4"/>
      <c r="L793" s="4"/>
    </row>
    <row r="794" spans="1:12"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J794" s="4"/>
      <c r="K794" s="4"/>
      <c r="L794" s="4"/>
    </row>
    <row r="795" spans="1:12"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J795" s="4"/>
      <c r="K795" s="4"/>
      <c r="L795" s="4"/>
    </row>
    <row r="796" spans="1:12"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J796" s="4"/>
      <c r="K796" s="4"/>
      <c r="L796" s="4"/>
    </row>
    <row r="797" spans="1:12"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J797" s="4"/>
      <c r="K797" s="4"/>
      <c r="L797" s="4"/>
    </row>
    <row r="798" spans="1:12"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J798" s="4"/>
      <c r="K798" s="4"/>
      <c r="L798" s="4"/>
    </row>
    <row r="799" spans="1:12"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J799" s="4"/>
      <c r="K799" s="4"/>
      <c r="L799" s="4"/>
    </row>
    <row r="800" spans="1:12"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J800" s="4"/>
      <c r="K800" s="4"/>
      <c r="L800" s="4"/>
    </row>
    <row r="801" spans="1:12"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J801" s="4"/>
      <c r="K801" s="4"/>
      <c r="L801" s="4"/>
    </row>
    <row r="802" spans="1:12"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J802" s="4"/>
      <c r="K802" s="4"/>
      <c r="L802" s="4"/>
    </row>
    <row r="803" spans="1:12"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J803" s="4"/>
      <c r="K803" s="4"/>
      <c r="L803" s="4"/>
    </row>
    <row r="804" spans="1:12"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J804" s="4"/>
      <c r="K804" s="4"/>
      <c r="L804" s="4"/>
    </row>
    <row r="805" spans="1:12"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J805" s="4"/>
      <c r="K805" s="4"/>
      <c r="L805" s="4"/>
    </row>
    <row r="806" spans="1:12"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J806" s="4"/>
      <c r="K806" s="4"/>
      <c r="L806" s="4"/>
    </row>
    <row r="807" spans="1:12"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J807" s="4"/>
      <c r="K807" s="4"/>
      <c r="L807" s="4"/>
    </row>
    <row r="808" spans="1:12"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J808" s="4"/>
      <c r="K808" s="4"/>
      <c r="L808" s="4"/>
    </row>
    <row r="809" spans="1:12"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J809" s="4"/>
      <c r="K809" s="4"/>
      <c r="L809" s="4"/>
    </row>
    <row r="810" spans="1:12"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J810" s="4"/>
      <c r="K810" s="4"/>
      <c r="L810" s="4"/>
    </row>
    <row r="811" spans="1:12"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J811" s="4"/>
      <c r="K811" s="4"/>
      <c r="L811" s="4"/>
    </row>
    <row r="812" spans="1:12"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J812" s="4"/>
      <c r="K812" s="4"/>
      <c r="L812" s="4"/>
    </row>
    <row r="813" spans="1:12"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J813" s="4"/>
      <c r="K813" s="4"/>
      <c r="L813" s="4"/>
    </row>
    <row r="814" spans="1:12"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J814" s="4"/>
      <c r="K814" s="4"/>
      <c r="L814" s="4"/>
    </row>
    <row r="815" spans="1:12"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J815" s="4"/>
      <c r="K815" s="4"/>
      <c r="L815" s="4"/>
    </row>
    <row r="816" spans="1:12"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J816" s="4"/>
      <c r="K816" s="4"/>
      <c r="L816" s="4"/>
    </row>
    <row r="817" spans="1:12"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J817" s="4"/>
      <c r="K817" s="4"/>
      <c r="L817" s="4"/>
    </row>
    <row r="818" spans="1:12"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J818" s="4"/>
      <c r="K818" s="4"/>
      <c r="L818" s="4"/>
    </row>
    <row r="819" spans="1:12"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J819" s="4"/>
      <c r="K819" s="4"/>
      <c r="L819" s="4"/>
    </row>
    <row r="820" spans="1:12"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J820" s="4"/>
      <c r="K820" s="4"/>
      <c r="L820" s="4"/>
    </row>
    <row r="821" spans="1:12"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J821" s="4"/>
      <c r="K821" s="4"/>
      <c r="L821"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D2:D821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52</v>
      </c>
      <c r="B1" s="1" t="s">
        <v>3</v>
      </c>
      <c r="C1" s="1" t="s">
        <v>53</v>
      </c>
    </row>
    <row r="2" spans="1:3" x14ac:dyDescent="0.25">
      <c r="A2">
        <v>1</v>
      </c>
      <c r="B2" t="s">
        <v>54</v>
      </c>
      <c r="C2" t="str">
        <f>SUBSTITUTE(SUBSTITUTE(SUBSTITUTE(SUBSTITUTE(SUBSTITUTE(SUBSTITUTE(SUBSTITUTE(SUBSTITUTE(SUBSTITUTE(SUBSTITUTE(B2,"á","a"),"é","e"),"í","i"),"ó","o"),"ú","u"),"Á","A"),"É","E"),"Í","I"),"Ó","O"),"Ú","U")</f>
        <v>Genesis</v>
      </c>
    </row>
    <row r="3" spans="1:3" x14ac:dyDescent="0.25">
      <c r="A3">
        <v>2</v>
      </c>
      <c r="B3" t="s">
        <v>55</v>
      </c>
      <c r="C3" t="str">
        <f t="shared" ref="C3:C67" si="0">SUBSTITUTE(SUBSTITUTE(SUBSTITUTE(SUBSTITUTE(SUBSTITUTE(SUBSTITUTE(SUBSTITUTE(SUBSTITUTE(SUBSTITUTE(SUBSTITUTE(B3,"á","a"),"é","e"),"í","i"),"ó","o"),"ú","u"),"Á","A"),"É","E"),"Í","I"),"Ó","O"),"Ú","U")</f>
        <v>Exodo</v>
      </c>
    </row>
    <row r="4" spans="1:3" x14ac:dyDescent="0.25">
      <c r="A4">
        <v>3</v>
      </c>
      <c r="B4" t="s">
        <v>56</v>
      </c>
      <c r="C4" t="str">
        <f t="shared" si="0"/>
        <v>Levitico</v>
      </c>
    </row>
    <row r="5" spans="1:3" x14ac:dyDescent="0.25">
      <c r="A5">
        <v>4</v>
      </c>
      <c r="B5" t="s">
        <v>57</v>
      </c>
      <c r="C5" t="str">
        <f t="shared" si="0"/>
        <v>Numeros</v>
      </c>
    </row>
    <row r="6" spans="1:3" x14ac:dyDescent="0.25">
      <c r="A6">
        <v>5</v>
      </c>
      <c r="B6" t="s">
        <v>58</v>
      </c>
      <c r="C6" t="str">
        <f t="shared" si="0"/>
        <v>Deuteronomio</v>
      </c>
    </row>
    <row r="7" spans="1:3" x14ac:dyDescent="0.25">
      <c r="A7">
        <v>6</v>
      </c>
      <c r="B7" t="s">
        <v>59</v>
      </c>
      <c r="C7" t="str">
        <f t="shared" si="0"/>
        <v>Josue</v>
      </c>
    </row>
    <row r="8" spans="1:3" x14ac:dyDescent="0.25">
      <c r="A8">
        <v>7</v>
      </c>
      <c r="B8" t="s">
        <v>60</v>
      </c>
      <c r="C8" t="str">
        <f t="shared" si="0"/>
        <v>Jueces</v>
      </c>
    </row>
    <row r="9" spans="1:3" x14ac:dyDescent="0.25">
      <c r="A9">
        <v>8</v>
      </c>
      <c r="B9" t="s">
        <v>61</v>
      </c>
      <c r="C9" t="str">
        <f t="shared" si="0"/>
        <v>Rut</v>
      </c>
    </row>
    <row r="10" spans="1:3" x14ac:dyDescent="0.25">
      <c r="A10">
        <v>9</v>
      </c>
      <c r="B10" t="s">
        <v>62</v>
      </c>
      <c r="C10" t="str">
        <f t="shared" si="0"/>
        <v>1 Samuel</v>
      </c>
    </row>
    <row r="11" spans="1:3" x14ac:dyDescent="0.25">
      <c r="A11">
        <v>10</v>
      </c>
      <c r="B11" t="s">
        <v>63</v>
      </c>
      <c r="C11" t="str">
        <f t="shared" si="0"/>
        <v>2 Samuel</v>
      </c>
    </row>
    <row r="12" spans="1:3" x14ac:dyDescent="0.25">
      <c r="A12">
        <v>11</v>
      </c>
      <c r="B12" t="s">
        <v>64</v>
      </c>
      <c r="C12" t="str">
        <f t="shared" si="0"/>
        <v>1 Reyes</v>
      </c>
    </row>
    <row r="13" spans="1:3" x14ac:dyDescent="0.25">
      <c r="A13">
        <v>12</v>
      </c>
      <c r="B13" t="s">
        <v>65</v>
      </c>
      <c r="C13" t="str">
        <f t="shared" si="0"/>
        <v>2 Reyes</v>
      </c>
    </row>
    <row r="14" spans="1:3" x14ac:dyDescent="0.25">
      <c r="A14">
        <v>13</v>
      </c>
      <c r="B14" t="s">
        <v>66</v>
      </c>
      <c r="C14" t="str">
        <f t="shared" si="0"/>
        <v>1 Cronicas</v>
      </c>
    </row>
    <row r="15" spans="1:3" x14ac:dyDescent="0.25">
      <c r="A15">
        <v>14</v>
      </c>
      <c r="B15" t="s">
        <v>67</v>
      </c>
      <c r="C15" t="str">
        <f t="shared" si="0"/>
        <v>2 Cronicas</v>
      </c>
    </row>
    <row r="16" spans="1:3" x14ac:dyDescent="0.25">
      <c r="A16">
        <v>15</v>
      </c>
      <c r="B16" t="s">
        <v>68</v>
      </c>
      <c r="C16" t="str">
        <f t="shared" si="0"/>
        <v>Esdras</v>
      </c>
    </row>
    <row r="17" spans="1:3" x14ac:dyDescent="0.25">
      <c r="A17">
        <v>16</v>
      </c>
      <c r="B17" t="s">
        <v>69</v>
      </c>
      <c r="C17" t="str">
        <f t="shared" si="0"/>
        <v>Nehemias</v>
      </c>
    </row>
    <row r="18" spans="1:3" x14ac:dyDescent="0.25">
      <c r="A18">
        <v>17</v>
      </c>
      <c r="B18" t="s">
        <v>70</v>
      </c>
      <c r="C18" t="str">
        <f t="shared" si="0"/>
        <v>Ester</v>
      </c>
    </row>
    <row r="19" spans="1:3" x14ac:dyDescent="0.25">
      <c r="A19">
        <v>18</v>
      </c>
      <c r="B19" t="s">
        <v>48</v>
      </c>
      <c r="C19" t="str">
        <f t="shared" si="0"/>
        <v>Job</v>
      </c>
    </row>
    <row r="20" spans="1:3" x14ac:dyDescent="0.25">
      <c r="A20">
        <v>19</v>
      </c>
      <c r="B20" t="s">
        <v>71</v>
      </c>
      <c r="C20" t="str">
        <f t="shared" si="0"/>
        <v>Salmos</v>
      </c>
    </row>
    <row r="21" spans="1:3" x14ac:dyDescent="0.25">
      <c r="A21">
        <v>20</v>
      </c>
      <c r="B21" t="s">
        <v>72</v>
      </c>
      <c r="C21" t="str">
        <f t="shared" si="0"/>
        <v>Proverbios</v>
      </c>
    </row>
    <row r="22" spans="1:3" x14ac:dyDescent="0.25">
      <c r="A22">
        <v>21</v>
      </c>
      <c r="B22" t="s">
        <v>73</v>
      </c>
      <c r="C22" t="str">
        <f t="shared" si="0"/>
        <v>Eclesiastes</v>
      </c>
    </row>
    <row r="23" spans="1:3" x14ac:dyDescent="0.25">
      <c r="A23">
        <v>22</v>
      </c>
      <c r="B23" t="s">
        <v>74</v>
      </c>
      <c r="C23" t="str">
        <f t="shared" si="0"/>
        <v>Cantares</v>
      </c>
    </row>
    <row r="24" spans="1:3" x14ac:dyDescent="0.25">
      <c r="A24">
        <v>23</v>
      </c>
      <c r="B24" t="s">
        <v>75</v>
      </c>
      <c r="C24" t="str">
        <f t="shared" si="0"/>
        <v>Isaias</v>
      </c>
    </row>
    <row r="25" spans="1:3" x14ac:dyDescent="0.25">
      <c r="A25">
        <v>24</v>
      </c>
      <c r="B25" t="s">
        <v>76</v>
      </c>
      <c r="C25" t="str">
        <f t="shared" si="0"/>
        <v>Jeremias</v>
      </c>
    </row>
    <row r="26" spans="1:3" x14ac:dyDescent="0.25">
      <c r="A26">
        <v>25</v>
      </c>
      <c r="B26" t="s">
        <v>77</v>
      </c>
      <c r="C26" t="str">
        <f t="shared" si="0"/>
        <v>Lamentaciones</v>
      </c>
    </row>
    <row r="27" spans="1:3" x14ac:dyDescent="0.25">
      <c r="A27">
        <v>26</v>
      </c>
      <c r="B27" t="s">
        <v>78</v>
      </c>
      <c r="C27" t="str">
        <f t="shared" si="0"/>
        <v>Ezequiel</v>
      </c>
    </row>
    <row r="28" spans="1:3" x14ac:dyDescent="0.25">
      <c r="A28">
        <v>27</v>
      </c>
      <c r="B28" t="s">
        <v>79</v>
      </c>
      <c r="C28" t="str">
        <f t="shared" si="0"/>
        <v>Daniel</v>
      </c>
    </row>
    <row r="29" spans="1:3" x14ac:dyDescent="0.25">
      <c r="A29">
        <v>28</v>
      </c>
      <c r="B29" t="s">
        <v>80</v>
      </c>
      <c r="C29" t="str">
        <f t="shared" si="0"/>
        <v>Oseas</v>
      </c>
    </row>
    <row r="30" spans="1:3" x14ac:dyDescent="0.25">
      <c r="A30">
        <v>29</v>
      </c>
      <c r="B30" t="s">
        <v>81</v>
      </c>
      <c r="C30" t="str">
        <f t="shared" si="0"/>
        <v>Joel</v>
      </c>
    </row>
    <row r="31" spans="1:3" x14ac:dyDescent="0.25">
      <c r="A31">
        <v>30</v>
      </c>
      <c r="B31" t="s">
        <v>82</v>
      </c>
      <c r="C31" t="str">
        <f t="shared" si="0"/>
        <v>Amos</v>
      </c>
    </row>
    <row r="32" spans="1:3" x14ac:dyDescent="0.25">
      <c r="A32">
        <v>31</v>
      </c>
      <c r="B32" t="s">
        <v>83</v>
      </c>
      <c r="C32" t="str">
        <f t="shared" si="0"/>
        <v>Abdias</v>
      </c>
    </row>
    <row r="33" spans="1:3" x14ac:dyDescent="0.25">
      <c r="A33">
        <v>32</v>
      </c>
      <c r="B33" t="s">
        <v>84</v>
      </c>
      <c r="C33" t="str">
        <f t="shared" si="0"/>
        <v>Jonas</v>
      </c>
    </row>
    <row r="34" spans="1:3" x14ac:dyDescent="0.25">
      <c r="A34">
        <v>33</v>
      </c>
      <c r="B34" t="s">
        <v>85</v>
      </c>
      <c r="C34" t="str">
        <f t="shared" si="0"/>
        <v>Miqueas</v>
      </c>
    </row>
    <row r="35" spans="1:3" x14ac:dyDescent="0.25">
      <c r="A35">
        <v>34</v>
      </c>
      <c r="B35" t="s">
        <v>86</v>
      </c>
      <c r="C35" t="str">
        <f t="shared" si="0"/>
        <v>Nahum</v>
      </c>
    </row>
    <row r="36" spans="1:3" x14ac:dyDescent="0.25">
      <c r="A36">
        <v>35</v>
      </c>
      <c r="B36" t="s">
        <v>87</v>
      </c>
      <c r="C36" t="str">
        <f t="shared" si="0"/>
        <v>Habacuc</v>
      </c>
    </row>
    <row r="37" spans="1:3" x14ac:dyDescent="0.25">
      <c r="A37">
        <v>36</v>
      </c>
      <c r="B37" t="s">
        <v>88</v>
      </c>
      <c r="C37" t="str">
        <f t="shared" si="0"/>
        <v>Sofonias</v>
      </c>
    </row>
    <row r="38" spans="1:3" x14ac:dyDescent="0.25">
      <c r="A38">
        <v>37</v>
      </c>
      <c r="B38" t="s">
        <v>89</v>
      </c>
      <c r="C38" t="str">
        <f t="shared" si="0"/>
        <v>Hageo</v>
      </c>
    </row>
    <row r="39" spans="1:3" x14ac:dyDescent="0.25">
      <c r="A39">
        <v>38</v>
      </c>
      <c r="B39" t="s">
        <v>90</v>
      </c>
      <c r="C39" t="str">
        <f t="shared" si="0"/>
        <v>Zacarias</v>
      </c>
    </row>
    <row r="40" spans="1:3" x14ac:dyDescent="0.25">
      <c r="A40">
        <v>39</v>
      </c>
      <c r="B40" t="s">
        <v>304</v>
      </c>
      <c r="C40" t="str">
        <f>SUBSTITUTE(SUBSTITUTE(SUBSTITUTE(SUBSTITUTE(SUBSTITUTE(SUBSTITUTE(SUBSTITUTE(SUBSTITUTE(SUBSTITUTE(SUBSTITUTE(B40,"á","a"),"é","e"),"í","i"),"ó","o"),"ú","u"),"Á","A"),"É","E"),"Í","I"),"Ó","O"),"Ú","U")</f>
        <v>Malaquias</v>
      </c>
    </row>
    <row r="41" spans="1:3" x14ac:dyDescent="0.25">
      <c r="A41">
        <v>40</v>
      </c>
      <c r="B41" t="s">
        <v>50</v>
      </c>
      <c r="C41" t="str">
        <f t="shared" si="0"/>
        <v>Mateo</v>
      </c>
    </row>
    <row r="42" spans="1:3" x14ac:dyDescent="0.25">
      <c r="A42">
        <v>41</v>
      </c>
      <c r="B42" t="s">
        <v>30</v>
      </c>
      <c r="C42" t="str">
        <f t="shared" si="0"/>
        <v>Marcos</v>
      </c>
    </row>
    <row r="43" spans="1:3" x14ac:dyDescent="0.25">
      <c r="A43">
        <v>42</v>
      </c>
      <c r="B43" t="s">
        <v>33</v>
      </c>
      <c r="C43" t="str">
        <f t="shared" si="0"/>
        <v>Lucas</v>
      </c>
    </row>
    <row r="44" spans="1:3" x14ac:dyDescent="0.25">
      <c r="A44">
        <v>43</v>
      </c>
      <c r="B44" t="s">
        <v>91</v>
      </c>
      <c r="C44" t="str">
        <f t="shared" si="0"/>
        <v>Juan</v>
      </c>
    </row>
    <row r="45" spans="1:3" x14ac:dyDescent="0.25">
      <c r="A45">
        <v>44</v>
      </c>
      <c r="B45" t="s">
        <v>13</v>
      </c>
      <c r="C45" t="str">
        <f t="shared" si="0"/>
        <v>Hechos</v>
      </c>
    </row>
    <row r="46" spans="1:3" x14ac:dyDescent="0.25">
      <c r="A46">
        <v>45</v>
      </c>
      <c r="B46" t="s">
        <v>92</v>
      </c>
      <c r="C46" t="str">
        <f t="shared" si="0"/>
        <v>Romanos</v>
      </c>
    </row>
    <row r="47" spans="1:3" x14ac:dyDescent="0.25">
      <c r="A47">
        <v>46</v>
      </c>
      <c r="B47" t="s">
        <v>15</v>
      </c>
      <c r="C47" t="str">
        <f t="shared" si="0"/>
        <v>1 Corintios</v>
      </c>
    </row>
    <row r="48" spans="1:3" x14ac:dyDescent="0.25">
      <c r="A48">
        <v>47</v>
      </c>
      <c r="B48" t="s">
        <v>36</v>
      </c>
      <c r="C48" t="str">
        <f t="shared" si="0"/>
        <v>2 Corintios</v>
      </c>
    </row>
    <row r="49" spans="1:3" x14ac:dyDescent="0.25">
      <c r="A49">
        <v>48</v>
      </c>
      <c r="B49" t="s">
        <v>93</v>
      </c>
      <c r="C49" t="str">
        <f t="shared" si="0"/>
        <v>Galatas</v>
      </c>
    </row>
    <row r="50" spans="1:3" x14ac:dyDescent="0.25">
      <c r="A50">
        <v>49</v>
      </c>
      <c r="B50" t="s">
        <v>39</v>
      </c>
      <c r="C50" t="str">
        <f t="shared" si="0"/>
        <v>Efesios</v>
      </c>
    </row>
    <row r="51" spans="1:3" x14ac:dyDescent="0.25">
      <c r="A51">
        <v>50</v>
      </c>
      <c r="B51" t="s">
        <v>20</v>
      </c>
      <c r="C51" t="str">
        <f t="shared" si="0"/>
        <v>Filipenses</v>
      </c>
    </row>
    <row r="52" spans="1:3" x14ac:dyDescent="0.25">
      <c r="A52">
        <v>51</v>
      </c>
      <c r="B52" t="s">
        <v>94</v>
      </c>
      <c r="C52" t="str">
        <f t="shared" si="0"/>
        <v>Colosenses</v>
      </c>
    </row>
    <row r="53" spans="1:3" x14ac:dyDescent="0.25">
      <c r="A53">
        <v>52</v>
      </c>
      <c r="B53" t="s">
        <v>95</v>
      </c>
      <c r="C53" t="str">
        <f t="shared" si="0"/>
        <v>1 Tesalonicenses</v>
      </c>
    </row>
    <row r="54" spans="1:3" x14ac:dyDescent="0.25">
      <c r="A54">
        <v>53</v>
      </c>
      <c r="B54" t="s">
        <v>40</v>
      </c>
      <c r="C54" t="str">
        <f t="shared" si="0"/>
        <v>2 Tesalonicenses</v>
      </c>
    </row>
    <row r="55" spans="1:3" x14ac:dyDescent="0.25">
      <c r="A55">
        <v>54</v>
      </c>
      <c r="B55" t="s">
        <v>96</v>
      </c>
      <c r="C55" t="str">
        <f t="shared" si="0"/>
        <v>1 Timoteo</v>
      </c>
    </row>
    <row r="56" spans="1:3" x14ac:dyDescent="0.25">
      <c r="A56">
        <v>55</v>
      </c>
      <c r="B56" t="s">
        <v>23</v>
      </c>
      <c r="C56" t="str">
        <f t="shared" si="0"/>
        <v>2 Timoteo</v>
      </c>
    </row>
    <row r="57" spans="1:3" x14ac:dyDescent="0.25">
      <c r="A57">
        <v>56</v>
      </c>
      <c r="B57" t="s">
        <v>97</v>
      </c>
      <c r="C57" t="str">
        <f t="shared" si="0"/>
        <v>Tito</v>
      </c>
    </row>
    <row r="58" spans="1:3" x14ac:dyDescent="0.25">
      <c r="A58">
        <v>57</v>
      </c>
      <c r="B58" t="s">
        <v>98</v>
      </c>
      <c r="C58" t="str">
        <f t="shared" si="0"/>
        <v>Filemon</v>
      </c>
    </row>
    <row r="59" spans="1:3" x14ac:dyDescent="0.25">
      <c r="A59">
        <v>58</v>
      </c>
      <c r="B59" t="s">
        <v>27</v>
      </c>
      <c r="C59" t="str">
        <f t="shared" si="0"/>
        <v>Hebreos</v>
      </c>
    </row>
    <row r="60" spans="1:3" x14ac:dyDescent="0.25">
      <c r="A60">
        <v>59</v>
      </c>
      <c r="B60" t="s">
        <v>99</v>
      </c>
      <c r="C60" t="str">
        <f t="shared" si="0"/>
        <v>Santiago</v>
      </c>
    </row>
    <row r="61" spans="1:3" x14ac:dyDescent="0.25">
      <c r="A61">
        <v>60</v>
      </c>
      <c r="B61" t="s">
        <v>100</v>
      </c>
      <c r="C61" t="str">
        <f t="shared" si="0"/>
        <v>1 Pedro</v>
      </c>
    </row>
    <row r="62" spans="1:3" x14ac:dyDescent="0.25">
      <c r="A62">
        <v>61</v>
      </c>
      <c r="B62" t="s">
        <v>101</v>
      </c>
      <c r="C62" t="str">
        <f t="shared" si="0"/>
        <v>2 Pedro</v>
      </c>
    </row>
    <row r="63" spans="1:3" x14ac:dyDescent="0.25">
      <c r="A63">
        <v>62</v>
      </c>
      <c r="B63" t="s">
        <v>102</v>
      </c>
      <c r="C63" t="str">
        <f t="shared" si="0"/>
        <v>1 Juan</v>
      </c>
    </row>
    <row r="64" spans="1:3" x14ac:dyDescent="0.25">
      <c r="A64">
        <v>63</v>
      </c>
      <c r="B64" t="s">
        <v>103</v>
      </c>
      <c r="C64" t="str">
        <f t="shared" si="0"/>
        <v>2 Juan</v>
      </c>
    </row>
    <row r="65" spans="1:3" x14ac:dyDescent="0.25">
      <c r="A65">
        <v>64</v>
      </c>
      <c r="B65" t="s">
        <v>104</v>
      </c>
      <c r="C65" t="str">
        <f t="shared" si="0"/>
        <v>3 Juan</v>
      </c>
    </row>
    <row r="66" spans="1:3" x14ac:dyDescent="0.25">
      <c r="A66">
        <v>65</v>
      </c>
      <c r="B66" t="s">
        <v>105</v>
      </c>
      <c r="C66" t="str">
        <f t="shared" si="0"/>
        <v>Judas</v>
      </c>
    </row>
    <row r="67" spans="1:3" x14ac:dyDescent="0.25">
      <c r="A67">
        <v>66</v>
      </c>
      <c r="B67" t="s">
        <v>42</v>
      </c>
      <c r="C67" t="str">
        <f t="shared" si="0"/>
        <v>Apocalipsis</v>
      </c>
    </row>
    <row r="68" spans="1:3" x14ac:dyDescent="0.25">
      <c r="A68" t="s">
        <v>106</v>
      </c>
      <c r="B68" t="s">
        <v>107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2026-05-25T06:10:31Z</dcterms:modified>
  <cp:category/>
  <cp:contentStatus/>
</cp:coreProperties>
</file>