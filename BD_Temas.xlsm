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339" documentId="13_ncr:1_{DAF31BAE-C645-4DA6-9A4C-551BA5B1B703}" xr6:coauthVersionLast="47" xr6:coauthVersionMax="47" xr10:uidLastSave="{57DB7D24-EBD6-4729-9574-94401110925E}"/>
  <bookViews>
    <workbookView xWindow="2868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83" i="1" l="1"/>
  <c r="G383" i="1" a="1"/>
  <c r="A356" i="1"/>
  <c r="A355" i="1"/>
  <c r="A367" i="1"/>
  <c r="A860" i="1"/>
  <c r="G860" i="1" a="1"/>
  <c r="A354" i="1"/>
  <c r="A353" i="1"/>
  <c r="A351" i="1"/>
  <c r="A352" i="1"/>
  <c r="A326" i="1"/>
  <c r="A349" i="1"/>
  <c r="A347" i="1"/>
  <c r="A334" i="1"/>
  <c r="A333" i="1"/>
  <c r="A332" i="1"/>
  <c r="A337" i="1"/>
  <c r="A319" i="1"/>
  <c r="A321" i="1"/>
  <c r="A304" i="1"/>
  <c r="A301" i="1"/>
  <c r="A300" i="1"/>
  <c r="A311" i="1"/>
  <c r="A271" i="1"/>
  <c r="A284" i="1"/>
  <c r="A283" i="1"/>
  <c r="A227" i="1"/>
  <c r="A276" i="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16" i="1"/>
  <c r="A317" i="1"/>
  <c r="A318" i="1"/>
  <c r="A320" i="1"/>
  <c r="A322" i="1"/>
  <c r="A323" i="1"/>
  <c r="A324" i="1"/>
  <c r="A325" i="1"/>
  <c r="A327" i="1"/>
  <c r="A328" i="1"/>
  <c r="A329" i="1"/>
  <c r="A330" i="1"/>
  <c r="A331" i="1"/>
  <c r="A335" i="1"/>
  <c r="A336" i="1"/>
  <c r="A338" i="1"/>
  <c r="A339" i="1"/>
  <c r="A340" i="1"/>
  <c r="A341" i="1"/>
  <c r="A342" i="1"/>
  <c r="A344" i="1"/>
  <c r="A345" i="1"/>
  <c r="A346" i="1"/>
  <c r="A348" i="1"/>
  <c r="A343" i="1"/>
  <c r="A350" i="1"/>
  <c r="A357" i="1"/>
  <c r="A358" i="1"/>
  <c r="A359" i="1"/>
  <c r="A360" i="1"/>
  <c r="A361" i="1"/>
  <c r="A362" i="1"/>
  <c r="A363" i="1"/>
  <c r="A364" i="1"/>
  <c r="A365" i="1"/>
  <c r="A366" i="1"/>
  <c r="A368" i="1"/>
  <c r="A369" i="1"/>
  <c r="A370" i="1"/>
  <c r="A371" i="1"/>
  <c r="A372" i="1"/>
  <c r="A373" i="1"/>
  <c r="A374" i="1"/>
  <c r="A375" i="1"/>
  <c r="A376" i="1"/>
  <c r="A377" i="1"/>
  <c r="A378" i="1"/>
  <c r="A379" i="1"/>
  <c r="A380" i="1"/>
  <c r="A381" i="1"/>
  <c r="A382"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G373" i="1" a="1"/>
  <c r="G374" i="1" a="1"/>
  <c r="G375" i="1" a="1"/>
  <c r="G376" i="1" a="1"/>
  <c r="G377" i="1" a="1"/>
  <c r="G378" i="1" a="1"/>
  <c r="G379" i="1" a="1"/>
  <c r="G380" i="1" a="1"/>
  <c r="G381" i="1" a="1"/>
  <c r="G382"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G845" i="1" a="1"/>
  <c r="G846" i="1" a="1"/>
  <c r="G847" i="1" a="1"/>
  <c r="G848" i="1" a="1"/>
  <c r="G849" i="1" a="1"/>
  <c r="G850" i="1" a="1"/>
  <c r="G851" i="1" a="1"/>
  <c r="G852" i="1" a="1"/>
  <c r="G853" i="1" a="1"/>
  <c r="G854" i="1" a="1"/>
  <c r="G855" i="1" a="1"/>
  <c r="G856" i="1" a="1"/>
  <c r="G857" i="1" a="1"/>
  <c r="G858" i="1" a="1"/>
  <c r="G859"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<sst xmlns="http://schemas.openxmlformats.org/spreadsheetml/2006/main" count="2540" uniqueCount="804">
  <si>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</si>
  <si>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</si>
  <si>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</si>
  <si>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</si>
  <si>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</si>
  <si>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</si>
  <si>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</si>
  <si>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</si>
  <si>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</si>
  <si>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</si>
  <si>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</si>
  <si>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</si>
  <si>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</si>
  <si>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</si>
  <si>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</si>
  <si>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</si>
  <si>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</si>
  <si>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</si>
  <si>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</si>
  <si>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</si>
  <si>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</si>
  <si>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</si>
  <si>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</si>
  <si>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</si>
  <si>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</si>
  <si>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</si>
  <si>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</si>
  <si>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</si>
  <si>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</si>
  <si>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</si>
  <si>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</si>
  <si>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</si>
  <si>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</si>
  <si>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</si>
  <si>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</si>
  <si>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</si>
  <si>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</si>
  <si>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</si>
  <si>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</si>
  <si>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</si>
  <si>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</si>
  <si>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</si>
  <si>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</si>
  <si>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</si>
  <si>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</si>
  <si>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</si>
  <si>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</si>
  <si>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</si>
  <si>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</si>
  <si>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</si>
  <si>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</si>
  <si>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</si>
  <si>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</si>
  <si>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</si>
  <si>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</si>
  <si>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</si>
  <si>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</si>
  <si>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</si>
  <si>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</si>
  <si>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</si>
  <si>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</si>
  <si>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</si>
  <si>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</si>
  <si>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</si>
  <si>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</si>
  <si>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</si>
  <si>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</si>
  <si>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</si>
  <si>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</si>
  <si>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</si>
  <si>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</si>
  <si>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</si>
  <si>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</si>
  <si>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</si>
  <si>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</si>
  <si>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</si>
  <si>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</si>
  <si>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</si>
  <si>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</si>
  <si>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</si>
  <si>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</si>
  <si>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</si>
  <si>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</si>
  <si>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</si>
  <si>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</si>
  <si>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</si>
  <si>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</si>
  <si>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</si>
  <si>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</si>
  <si>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</si>
  <si>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</si>
  <si>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</si>
  <si>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</si>
  <si>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</si>
  <si>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</si>
  <si>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</si>
  <si>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</si>
  <si>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</si>
  <si>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</si>
  <si>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</si>
  <si>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</si>
  <si>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</si>
  <si>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</si>
  <si>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</si>
  <si>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</si>
  <si>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</si>
  <si>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</si>
  <si>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</si>
  <si>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</si>
  <si>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</si>
  <si>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</si>
  <si>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</si>
  <si>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</si>
  <si>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</si>
  <si>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</si>
  <si>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</si>
  <si>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</si>
  <si>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</si>
  <si>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</si>
  <si>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</si>
  <si>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</si>
  <si>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</si>
  <si>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</si>
  <si>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</si>
  <si>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</si>
  <si>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</si>
  <si>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</si>
  <si>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</si>
  <si>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</si>
  <si>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</si>
  <si>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</si>
  <si>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</si>
  <si>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</si>
  <si>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</si>
  <si>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</si>
  <si>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</si>
  <si>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</si>
  <si>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</si>
  <si>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</si>
  <si>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</si>
  <si>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</si>
  <si>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</si>
  <si>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</si>
  <si>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</si>
  <si>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</si>
  <si>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</si>
  <si>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</si>
  <si>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</si>
  <si>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</si>
  <si>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</si>
  <si>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</si>
  <si>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</si>
  <si>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</si>
  <si>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</si>
  <si>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</si>
  <si>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</si>
  <si>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</si>
  <si>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</si>
  <si>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</si>
  <si>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</si>
  <si>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</si>
  <si>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</si>
  <si>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</si>
  <si>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</si>
  <si>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</si>
  <si>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</si>
  <si>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</si>
  <si>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</si>
  <si>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</si>
  <si>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</si>
  <si>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</si>
  <si>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</si>
  <si>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</si>
  <si>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</si>
  <si>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</si>
  <si>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</si>
  <si>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</si>
  <si>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</si>
  <si>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</si>
  <si>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</si>
  <si>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</si>
  <si>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</si>
  <si>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</si>
  <si>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</si>
  <si>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</si>
  <si>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</si>
  <si>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</si>
  <si>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</si>
  <si>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</si>
  <si>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</si>
  <si>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</si>
  <si>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</si>
  <si>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</si>
  <si>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</si>
  <si>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</si>
  <si>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</si>
  <si>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</si>
  <si>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</si>
  <si>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</si>
  <si>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</si>
  <si>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</si>
  <si>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</si>
  <si>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</si>
  <si>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</si>
  <si>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</si>
  <si>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</si>
  <si>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</si>
  <si>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</si>
  <si>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</si>
  <si>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</si>
  <si>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</si>
  <si>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</si>
  <si>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</si>
  <si>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</si>
  <si>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</si>
  <si>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</si>
  <si>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</si>
  <si>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</si>
  <si>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</si>
  <si>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</si>
  <si>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</si>
  <si>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</si>
  <si>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</si>
  <si>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</si>
  <si>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</si>
  <si>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</si>
  <si>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</si>
  <si>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</si>
  <si>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</si>
  <si>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</si>
  <si>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</si>
  <si>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</si>
  <si>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</si>
  <si>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</si>
  <si>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</si>
  <si>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</si>
  <si>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</si>
  <si>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</si>
  <si>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</si>
  <si>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</si>
  <si>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</si>
  <si>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</si>
  <si>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</si>
  <si>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</si>
  <si>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</si>
  <si>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</si>
  <si>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</si>
  <si>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</si>
  <si>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</si>
  <si>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</si>
  <si>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</si>
  <si>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</si>
  <si>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</si>
  <si>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</si>
  <si>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</si>
  <si>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</si>
  <si>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</si>
  <si>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</si>
  <si>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</si>
  <si>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</si>
  <si>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</si>
  <si>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</si>
  <si>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</si>
  <si>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</si>
  <si>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</si>
  <si>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</si>
  <si>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</si>
  <si>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</si>
  <si>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</si>
  <si>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</si>
  <si>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</si>
  <si>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</si>
  <si>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</si>
  <si>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</si>
  <si>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</si>
  <si>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</si>
  <si>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</si>
  <si>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</si>
  <si>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</si>
  <si>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</si>
  <si>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</si>
  <si>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</si>
  <si>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</si>
  <si>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</si>
  <si>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</si>
  <si>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</si>
  <si>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</si>
  <si>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</si>
  <si>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</si>
  <si>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</si>
  <si>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</si>
  <si>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</si>
  <si>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</si>
  <si>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</si>
  <si>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</si>
  <si>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</si>
  <si>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</si>
  <si>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</si>
  <si>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</si>
  <si>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</si>
  <si>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</si>
  <si>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</si>
  <si>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</si>
  <si>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</si>
  <si>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</si>
  <si>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</si>
  <si>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</si>
  <si>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</si>
  <si>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</si>
  <si>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</si>
  <si>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</si>
  <si>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</si>
  <si>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</si>
  <si>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</si>
  <si>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</si>
  <si>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</si>
  <si>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</si>
  <si>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</si>
  <si>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</si>
  <si>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</si>
  <si>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</si>
  <si>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</si>
  <si>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</si>
  <si>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</si>
  <si>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</si>
  <si>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</si>
  <si>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</si>
  <si>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</si>
  <si>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</si>
  <si>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</si>
  <si>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</si>
  <si>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</si>
  <si>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</si>
  <si>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</si>
  <si>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</si>
  <si>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</si>
  <si>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</si>
  <si>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</si>
  <si>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</si>
  <si>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</si>
  <si>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</si>
  <si>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</si>
  <si>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</si>
  <si>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</si>
  <si>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</si>
  <si>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</si>
  <si>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</si>
  <si>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</si>
  <si>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</si>
  <si>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</si>
  <si>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</si>
  <si>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</si>
  <si>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</si>
  <si>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</si>
  <si>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</si>
  <si>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</si>
  <si>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</si>
  <si>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</si>
  <si>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</si>
  <si>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</si>
  <si>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</si>
  <si>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</si>
  <si>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</si>
  <si>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</si>
  <si>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</si>
  <si>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</si>
  <si>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</si>
  <si>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</si>
  <si>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</si>
  <si>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</si>
  <si>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</si>
  <si>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</si>
  <si>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</si>
  <si>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</si>
  <si>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</si>
  <si>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</si>
  <si>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</si>
  <si>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</si>
  <si>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</si>
  <si>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</si>
  <si>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</si>
  <si>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</si>
  <si>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</si>
  <si>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</si>
  <si>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</si>
  <si>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</si>
  <si>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</si>
  <si>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</si>
  <si>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</si>
  <si>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</si>
  <si>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</si>
  <si>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</si>
  <si>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</si>
  <si>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</si>
  <si>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</si>
  <si>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</si>
  <si>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</si>
  <si>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</si>
  <si>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</si>
  <si>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</si>
  <si>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</si>
  <si>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</si>
  <si>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</si>
  <si>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</si>
  <si>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</si>
  <si>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</si>
  <si>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</si>
  <si>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</si>
  <si>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</si>
  <si>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</si>
  <si>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</si>
  <si>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</si>
  <si>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</si>
  <si>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</si>
  <si>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</si>
  <si>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</si>
  <si>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</si>
  <si>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</si>
  <si>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</si>
  <si>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</si>
  <si>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</si>
  <si>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</si>
  <si>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</si>
  <si>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</si>
  <si>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</si>
  <si>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</si>
  <si>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</si>
  <si>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</si>
  <si>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</si>
  <si>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</si>
  <si>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</si>
  <si>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</si>
  <si>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</si>
  <si>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</si>
  <si>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</si>
  <si>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</si>
  <si>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</si>
  <si>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</si>
  <si>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</si>
  <si>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</si>
  <si>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</si>
  <si>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</si>
  <si>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</si>
  <si>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</si>
  <si>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</si>
  <si>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</si>
  <si>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</si>
  <si>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</si>
  <si>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</si>
  <si>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</si>
  <si>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</si>
  <si>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</si>
  <si>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</si>
  <si>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</si>
  <si>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</si>
  <si>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</si>
  <si>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</si>
  <si>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</si>
  <si>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</si>
  <si>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</si>
  <si>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</si>
  <si>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</si>
  <si>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</si>
  <si>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</si>
  <si>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</si>
  <si>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</si>
  <si>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</si>
  <si>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</si>
  <si>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</si>
  <si>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</si>
  <si>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</si>
  <si>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</si>
  <si>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</si>
  <si>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</si>
  <si>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</si>
  <si>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</si>
  <si>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</si>
  <si>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</si>
  <si>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</si>
  <si>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</si>
  <si>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</si>
  <si>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</si>
  <si>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</si>
  <si>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</si>
  <si>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</si>
  <si>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</si>
  <si>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</si>
  <si>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</si>
  <si>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</si>
  <si>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</si>
  <si>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</si>
  <si>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</si>
  <si>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</si>
  <si>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</si>
  <si>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</si>
  <si>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</si>
  <si>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</si>
  <si>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</si>
  <si>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</si>
  <si>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</si>
  <si>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</si>
  <si>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</si>
  <si>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</si>
  <si>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</si>
  <si>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</si>
  <si>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</si>
  <si>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</si>
  <si>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</si>
  <si>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</si>
  <si>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</si>
  <si>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</si>
  <si>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</si>
  <si>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</si>
  <si>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</si>
  <si>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</si>
  <si>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</si>
  <si>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</si>
  <si>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</si>
  <si>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</si>
  <si>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</si>
  <si>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</si>
  <si>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</si>
  <si>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</si>
  <si>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</si>
  <si>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</si>
  <si>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</si>
  <si>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</si>
  <si>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</si>
  <si>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</si>
  <si>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</si>
  <si>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</si>
  <si>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</si>
  <si>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</si>
  <si>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</si>
  <si>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</si>
  <si>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</si>
  <si>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</si>
  <si>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</si>
  <si>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</si>
  <si>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</si>
  <si>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</si>
  <si>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</si>
  <si>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</si>
  <si>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</si>
  <si>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</si>
  <si>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</si>
  <si>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</si>
  <si>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</si>
  <si>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</si>
  <si>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</si>
  <si>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</si>
  <si>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</si>
  <si>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</si>
  <si>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</si>
  <si>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</si>
  <si>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</si>
  <si>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</si>
  <si>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</si>
  <si>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</si>
  <si>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</si>
  <si>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</si>
  <si>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</si>
  <si>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</si>
  <si>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</si>
  <si>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</si>
  <si>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</si>
  <si>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</si>
  <si>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</si>
  <si>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</si>
  <si>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</si>
  <si>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</si>
  <si>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</si>
  <si>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</si>
  <si>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</si>
  <si>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</si>
  <si>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</si>
  <si>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</si>
  <si>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</si>
  <si>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</si>
  <si>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</si>
  <si>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</si>
  <si>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</si>
  <si>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</si>
  <si>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</si>
  <si>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</si>
  <si>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</si>
  <si>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</si>
  <si>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</si>
  <si>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</si>
  <si>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</si>
  <si>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</si>
  <si>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</si>
  <si>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</si>
  <si>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</si>
  <si>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</si>
  <si>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</si>
  <si>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</si>
  <si>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</si>
  <si>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</si>
  <si>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</si>
  <si>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</si>
  <si>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</si>
  <si>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</si>
  <si>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</si>
  <si>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</si>
  <si>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</si>
  <si>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</si>
  <si>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</si>
  <si>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</si>
  <si>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</si>
  <si>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</si>
  <si>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</si>
  <si>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</si>
  <si>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</si>
  <si>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</si>
  <si>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</si>
  <si>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</si>
  <si>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</si>
  <si>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</si>
  <si>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</si>
  <si>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</si>
  <si>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</si>
  <si>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</si>
  <si>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</si>
  <si>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</si>
  <si>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</si>
  <si>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</si>
  <si>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</si>
  <si>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</si>
  <si>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</si>
  <si>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</si>
  <si>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</si>
  <si>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</si>
  <si>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</si>
  <si>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</si>
  <si>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</si>
  <si>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</si>
  <si>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</si>
  <si>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</si>
  <si>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</si>
  <si>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</si>
  <si>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</si>
  <si>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</si>
  <si>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</si>
  <si>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</si>
  <si>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</si>
  <si>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</si>
  <si>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</si>
  <si>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</si>
  <si>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</si>
  <si>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</si>
  <si>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</si>
  <si>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</si>
  <si>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</si>
  <si>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</si>
  <si>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</si>
  <si>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</si>
  <si>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</si>
  <si>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</si>
  <si>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</si>
  <si>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</si>
  <si>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</si>
  <si>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</si>
  <si>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</si>
  <si>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</si>
  <si>
    <t xml:space="preserve">_x000D_ _x000D_ 17 Y vino y anunció(A) paz(B) a vosotros que estabais lejos, y paz a los que estaban cerca(C); _x000D_ </t>
  </si>
  <si>
    <t xml:space="preserve">_x000D_ _x000D_ 2 y enviamos a Timoteo(A), nuestro hermano y colaborador de Dios[a] en el evangelio de Cristo, para fortaleceros y alentaros respecto a vuestra fe; _x000D_ </t>
  </si>
  <si>
    <t xml:space="preserve">_x000D_ _x000D_ 15 ¿Y cómo predicarán si no son enviados? Tal como está escrito: ¡Cuan hermosos son los pies[a] de los que anuncian el evangelio del bien[b](A)!_x000D_ </t>
  </si>
  <si>
    <t xml:space="preserve">_x000D_ _x000D_ _x000D_ 25 Como agua fría para el alma sedienta,_x000D_ así son las buenas nuevas de una tierra lejana(A)._x000D_ </t>
  </si>
  <si>
    <t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t>
  </si>
  <si>
    <t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t>
  </si>
  <si>
    <t xml:space="preserve">_x000D_ _x000D_ 9 ¿No te lo he ordenado yo? ¡Sé fuerte y valiente(A)! No temas ni te acobardes, porque el Señor tu Dios estará contigo dondequiera que vayas(B)._x000D_ </t>
  </si>
  <si>
    <t xml:space="preserve">_x000D_ _x000D_ _x000D_ 10 No temas, porque yo estoy contigo(A);_x000D_ no te desalientes[a], porque yo soy tu Dios._x000D_ Te fortaleceré, ciertamente te ayudaré(B),_x000D_ sí, te sostendré con la diestra de mi justicia(C)._x000D_ </t>
  </si>
  <si>
    <t xml:space="preserve">_x000D_ _x000D_ _x000D_ 5 Confía en el Señor(A) con todo tu corazón,_x000D_ y no te apoyes en tu propio entendimiento(B)._x000D_ 6 Reconócele(C) en todos tus caminos,_x000D_ y Él enderezará tus sendas(D)._x000D_ </t>
  </si>
  <si>
    <t xml:space="preserve">_x000D_ _x000D_ 7 echando toda vuestra ansiedad sobre Él, porque Él tiene cuidado de vosotros(A). 8 Sed de espíritu sobrio(B), estad alerta(C). Vuestro adversario, el diablo(D), anda al acecho como león rugiente(E), buscando a quien devorar. _x000D_ </t>
  </si>
  <si>
    <t xml:space="preserve">_x000D_ _x000D_ _x000D_ 10 Porque los montes serán quitados y las colinas temblarán(A),_x000D_ pero mi misericordia no se apartará de ti,_x000D_ y el pacto de mi paz no será quebrantado(B)_x000D_ —dice el Señor, que tiene compasión de ti(C)._x000D_ </t>
  </si>
  <si>
    <t xml:space="preserve">_x000D_ _x000D_ _x000D_ 22 Echa sobre el Señor tu carga[a], y Él te sustentará(A);_x000D_ Él nunca permitirá que el justo sea sacudido[b](B)._x000D_ </t>
  </si>
  <si>
    <t xml:space="preserve">_x000D_ _x000D_ _x000D_ 22 El corazón alegre es buena medicina[a](A),_x000D_ pero el espíritu quebrantado seca los huesos(B)._x000D_ </t>
  </si>
  <si>
    <t xml:space="preserve">_x000D_ _x000D_ Oración vespertina de confianza en Dios_x000D_ _x000D_ Para el director del coro[a]; para instrumentos de cuerda. Salmo de David._x000D_ _x000D_ _x000D_ 4 Cuando clamo(A), respóndeme(B), oh Dios de mi justicia._x000D_ En la angustia me has aliviado[b](C);_x000D_ ten piedad de mí(D), escucha mi oración(E)._x000D_ </t>
  </si>
  <si>
    <t xml:space="preserve">_x000D_ _x000D_ Oración pidiendo protección de los malos_x000D_ _x000D_ Para el director del coro; para acompañamiento de flauta[a]. Salmo de David._x000D_ _x000D_ _x000D_ 5 Escucha mis palabras, oh Señor(A);_x000D_ considera mi lamento[b](B)._x000D_ </t>
  </si>
  <si>
    <t xml:space="preserve">_x000D_ _x000D_ _x000D_ 2 Ten piedad de mí, Señor, pues languidezco[a](A);_x000D_ sáname(B), Señor, porque mis huesos se estremecen(C)._x000D_ 3 Mi alma también está muy angustiada(D);_x000D_ y tú, oh Señor, ¿hasta cuándo(E)?_x000D_ </t>
  </si>
  <si>
    <t xml:space="preserve">_x000D_ _x000D_ _x000D_ 3 Fue despreciado y desechado de los hombres(A),_x000D_ varón de dolores y experimentado en aflicción[a](B);_x000D_ y como uno de quien los hombres esconden el rostro,_x000D_ fue despreciado(C), y no le estimamos(D)._x000D_ </t>
  </si>
  <si>
    <t xml:space="preserve">_x000D_ _x000D_ 38 Entonces les dijo*: Mi alma está muy afligida(A), hasta el punto de la muerte; quedaos aquí y velad conmigo(B). _x000D_ </t>
  </si>
  <si>
    <t xml:space="preserve">_x000D_ _x000D_ 28 Venid a mí, todos los que estáis cansados[a] y cargados, y yo os haré descansar(A). 29 Tomad mi yugo sobre vosotros y aprended de mí(B), que soy manso y humilde de corazón, y hallareis descanso para vuestras almas(C). 30 Porque mi yugo es fácil[b] y mi carga ligera(D)._x000D_ </t>
  </si>
  <si>
    <t xml:space="preserve">_x000D_ _x000D_ Consejos para la iglesia_x000D_ _x000D_ 6 Humillaos(A), pues, bajo la poderosa mano de Dios, para que Él os exalte a su debido tiempo, 7 echando toda vuestra ansiedad sobre Él, porque Él tiene cuidado de vosotros(B). _x000D_ </t>
  </si>
  <si>
    <t xml:space="preserve">_x000D_ _x000D_ Jesús, el gran Sumo Sacerdote_x000D_ _x000D_ 14 Teniendo, pues, un gran Sumo Sacerdote(A) que trascendió[a](B) los cielos, Jesús, el Hijo de Dios(C), retengamos nuestra fe[b](D). 15 Porque no tenemos un sumo sacerdote(E) que no pueda compadecerse de nuestras flaquezas, sino uno que ha sido tentado en todo como nosotros(F), pero sin pecado(G). 16 Por tanto, acerquémonos(H) con confianza(I) al trono de la gracia para que recibamos misericordia, y hallemos gracia para la ayuda oportuna._x000D_ </t>
  </si>
  <si>
    <t xml:space="preserve">_x000D_ _x000D_ 10 Porque la tristeza que es conforme a la voluntad de Dios produce un arrepentimiento que conduce a la salvación(A), sin dejar pesar[a]; pero la tristeza del mundo produce muerte. _x000D_ </t>
  </si>
  <si>
    <t xml:space="preserve">_x000D_ _x000D_ _x000D_ 37 ¿Quién es aquel[a] que habla y así sucede,_x000D_ a menos que el Señor lo haya ordenado(A)?_x000D_ 38 ¿No salen de la boca del Altísimo_x000D_ tanto el mal como el bien(B)?_x000D_ _x000D_ _x000D_ 39 ¿Por qué ha de quejarse el ser viviente?_x000D_ ¡Sea valiente frente a sus pecados(C)!_x000D_ </t>
  </si>
  <si>
    <t xml:space="preserve">_x000D_ _x000D_ 9 Afligíos, lamentad y llorad(A); que vuestra risa se torne en llanto[a] y vuestro gozo en tristeza. _x000D_ </t>
  </si>
  <si>
    <t xml:space="preserve">_x000D_ _x000D_ 16 Un poco más(A), y ya no me veréis(B); y de nuevo un poco, y me veréis(C). 17 Entonces algunos de sus discípulos se decían unos a otros: ¿Qué es esto que nos dice: «Un poco más, y no me veréis, y de nuevo un poco, y me veréis(D)» y «Porque yo voy al Padre(E)»? 18 Por eso decían: ¿Qué es esto que dice: «Un poco»? No sabemos de qué habla. 19 Jesús sabía que querían preguntarle(F), y les dijo: ¿Estáis discutiendo entre vosotros sobre esto, porque dije: «Un poco más, y no me veréis, y de nuevo un poco, y me veréis»? 20 En verdad, en verdad os digo que lloraréis y os lamentaréis(G), pero el mundo se alegrará; estaréis tristes, pero vuestra tristeza se convertirá en alegría(H). 21 Cuando la mujer está para dar a luz, tiene aflicción(I), porque ha llegado su hora; pero cuando da a luz al niño, ya no se acuerda de la angustia, por la alegría de que un niño[a] haya nacido en el mundo. 22 Por tanto, ahora vosotros tenéis también aflicción(J); pero yo os veré otra vez(K), y vuestro corazón se alegrará, y nadie os quitará vuestro gozo. 23 En aquel día(L) no me preguntaréis nada(M). En verdad, en verdad os digo: si pedís algo al Padre, os lo dará en mi nombre(N). 24 Hasta ahora nada habéis pedido en mi nombre(O); pedid y recibiréis, para que vuestro gozo sea completo(P)._x000D_ </t>
  </si>
  <si>
    <t xml:space="preserve">_x000D_ _x000D_ El fruto del Espíritu en la conducta cristiana_x000D_ _x000D_ 22 Mas el fruto(A) del Espíritu es amor, gozo, paz, paciencia, benignidad, bondad, fidelidad[a](B), 23 mansedumbre, dominio propio(C); contra tales cosas no hay ley(D). _x000D_ </t>
  </si>
  <si>
    <t xml:space="preserve">_x000D_ _x000D_ 13 ¿Sufre alguno entre vosotros(A)? Que haga oración(B). ¿Está alguno alegre? Que cante alabanzas(C). _x000D_ </t>
  </si>
  <si>
    <t xml:space="preserve">_x000D_ _x000D_ 6 Por nada estéis afanosos(A); antes bien, en todo, mediante oración y súplica con acción de gracias, sean dadas a conocer vuestras peticiones delante de Dios(B). 7 Y la paz de Dios(C), que sobrepasa todo entendimiento[a], guardará(D) vuestros corazones y vuestras mentes(E) en Cristo Jesús(F)._x000D_ </t>
  </si>
  <si>
    <t xml:space="preserve">_x000D_ _x000D_ 6 En lo cual os regocijáis grandemente(A), aunque ahora, por un poco de tiempo(B) si es necesario(C), seáis afligidos con diversas pruebas[a](D), 7 para que la prueba[b] de vuestra fe(E), más preciosa que el oro que perece, aunque probado por fuego(F), sea hallada que resulta en alabanza(G), gloria y honor en la revelación de Jesucristo(H); 8 a quien sin haberle visto(I), le amáis(J), y a quien ahora no veis, pero creéis en Él, y os regocijáis grandemente con gozo inefable y lleno de gloria[c], 9 obteniendo, como[d] resultado de vuestra fe(K), la salvación de vuestras[e] almas. _x000D_ </t>
  </si>
  <si>
    <t>BUENAS NOTICIAS DEL REINO DE DIOS</t>
  </si>
  <si>
    <t>ES PODER DE DIOS PARA SALVACIÓN</t>
  </si>
  <si>
    <t>ANUNCIA LA JUSTICIA DE DIOS POR MEDIO DE LA FE</t>
  </si>
  <si>
    <t>UN MENSAJE RICO EN MISTERIOS</t>
  </si>
  <si>
    <t>ANUNCIA LA PAZ Y LA RECONCILIACIÓN CON DIOS</t>
  </si>
  <si>
    <t>UN MENSAJE ENCOMENDADO DE ANUNCIAR A LOS SEGUIDORES DE CRISTO</t>
  </si>
  <si>
    <t>TEMA G.7.1 ¿QUÉ SIGNIFICA EL EVANGELIO, QUÉ ES Y QUE ANUNCIA?</t>
  </si>
  <si>
    <t>TEMA G.7.2 ¿PARA QUÉ ES EL EVANGELIO Y CUÁL ES SU PROPÓSITO?</t>
  </si>
  <si>
    <t>ADVERTIR ANTES DEL REGRESO DE CRISTO</t>
  </si>
  <si>
    <t>SER EL FUNDAMENTO PARA NUEVOS CREYENTES</t>
  </si>
  <si>
    <t>ES EL MENSAJE QUE DIOS UTILIZA PARA SALVAR</t>
  </si>
  <si>
    <t>REVELA LA JUSTICIA DE DIOS</t>
  </si>
  <si>
    <t>FOMENTAR LA UNIDAD</t>
  </si>
  <si>
    <t>DAR A CONOCER EL SACRIFICIO DE CRISTO EN LA CRUZ</t>
  </si>
  <si>
    <t>ES PARA DAR UNA NUEVA VIDA</t>
  </si>
  <si>
    <t>ENSEÑAR LO QUE DIOS HABLÓ</t>
  </si>
  <si>
    <t>UNE A JUDÍOS Y GENTILES</t>
  </si>
  <si>
    <t>DEJA QUE LOS INCRÉDULOS TENGAN ACCESO A CRISTO</t>
  </si>
  <si>
    <t>DAR LIBERTAD, SANIDAD, ENTENDIMIENTO</t>
  </si>
  <si>
    <t>9-18</t>
  </si>
  <si>
    <t>EL EVANGELIO MUESTRA NUESTRA INJUSTICIA Y HACER VER LA JUSTICIA DE DIOS</t>
  </si>
  <si>
    <t>TEMA G.7.3 ¿A QUIÉN SE DIRIGE EL EVANGELIO?</t>
  </si>
  <si>
    <t>21-24</t>
  </si>
  <si>
    <t>16-17</t>
  </si>
  <si>
    <t>EL EVANGELIO CUANDO REVELA LA JUSTICIA SE DIRIGE A LOS INJUSTOS</t>
  </si>
  <si>
    <t>EL EVANGELIO SE DIRIGE A LOS PECADORES (PERDIDOS QUE NO CONOCEN A DIOS)</t>
  </si>
  <si>
    <t>EL EVANGELIO CUANDO JUSTIFICA ES PARA JUDÍOS Y NO JUDÍOS</t>
  </si>
  <si>
    <t xml:space="preserve">EL EVANGELIO PRUEBA LA CONCIENCIA </t>
  </si>
  <si>
    <t>SE DEBE ANUNCIAR A TODOS SIN IMPORTAR SU NACIONALIDAD</t>
  </si>
  <si>
    <t>SE DEBE ANUNCIAR A TODOS SIN IMPORTAR EL NIVEL INTELECTUAL</t>
  </si>
  <si>
    <t>EL EVANGELIO ES PARA TODOS LOS QUE CREEN</t>
  </si>
  <si>
    <t>NO FUE RECIBIDO POR LOS JUDÍOS PERO SI ALGUIEN CREE PARA ESE ES</t>
  </si>
  <si>
    <t>11-12</t>
  </si>
  <si>
    <t>LLAMAR A LOS QUE RECONOCEN SU PECADO AL ARREPENTIMIENTO</t>
  </si>
  <si>
    <t>31-32</t>
  </si>
  <si>
    <t>A LOS QUE RECONOCEN SU PECADO</t>
  </si>
  <si>
    <t>39-43</t>
  </si>
  <si>
    <t>44 -47</t>
  </si>
  <si>
    <t>TEMA G.7.4. ¿PODEMOS CONFIAR EN EL EVANGELIO?</t>
  </si>
  <si>
    <t>SI, PERO DEBEMOS RENUNCIAR A LAS OBRAS DE LAS TINIEBLAS</t>
  </si>
  <si>
    <t>A LOS QUE PRACTICAN LA VERDAD</t>
  </si>
  <si>
    <t>20-21</t>
  </si>
  <si>
    <t>A LOS QUE QUIEREN HEREDAR LA VIDA ETERNA</t>
  </si>
  <si>
    <t>SÍ, PORQUE ES PALABRA DE DIOS Y NO DE HOMBRE</t>
  </si>
  <si>
    <t>SÍ, PORQUE ES PODER DE DIOS</t>
  </si>
  <si>
    <t>SÍ, PORQUE REVELA LA JUSTICIA DE DIOS</t>
  </si>
  <si>
    <t>SÍ, PORQUE TRAE GRACIA CUANDO RECONOCEMOS NUESTRO PECADO</t>
  </si>
  <si>
    <t>SI, PERO DEBEMOS PERSEVERAR EN ÉL</t>
  </si>
  <si>
    <t>AÚN EN LAS TRIBULACIONES</t>
  </si>
  <si>
    <t>SI, PORQUE JESUCRISTO NOS PERFECCIONA POR MEDIO DE ÉL</t>
  </si>
  <si>
    <t>TEMA G.7.5 ¿ CUÁNTOS EVANGELIOS HAY?</t>
  </si>
  <si>
    <t>MANTENIENDO LA ESPERANZA DE QUE SOLO HAY ESPERANZA POR MEDIO DE CRISTO</t>
  </si>
  <si>
    <t>SÍ, PERO DEBE SER EL EVANGELIO DE CRISTO</t>
  </si>
  <si>
    <t>NUESTRA SALVACIÓN ES POR LA FE Y LA GRACIA EN CRISTO</t>
  </si>
  <si>
    <t>SOLO UNO, EL QUE ANUNCIÓ CRISTO</t>
  </si>
  <si>
    <t>SOLO UNO, EL QUE ANUNCIA EL REINO DE DIOS</t>
  </si>
  <si>
    <t>SOLO UNO, EL QUE ADVIERTE DEL PECADO</t>
  </si>
  <si>
    <t>SOLO UNO, EL QUE JUSTIFICA POR MEDIO DE LA FE EN CRISTO</t>
  </si>
  <si>
    <t>24-25</t>
  </si>
  <si>
    <t>EL REINO DE DIOS ES EL GOBIERNO DE DIOS ENTRE NOSOTROS</t>
  </si>
  <si>
    <t>SOLO UNO, EL QUE NO NECESITA LA SABIDURÍA HUMANA</t>
  </si>
  <si>
    <t>SOLO EXPONER A JESUCRISTO</t>
  </si>
  <si>
    <t>A LOS QUE SE SALVAN</t>
  </si>
  <si>
    <t>SALMO 25 - DIRECCIÓN, PROTECCIÓN Y PERDÓN</t>
  </si>
  <si>
    <t xml:space="preserve">_x000D_ _x000D_ 3 Y no solo esto, sino que también nos gloriamos[a](A) en las tribulaciones(B), sabiendo que la tribulación produce paciencia[b](C); 4 y la paciencia[c](D), carácter probado(E); y el carácter probado, esperanza; 5 y la esperanza no desilusiona(F), porque el amor de Dios ha sido derramado en nuestros corazones por medio del Espíritu Santo que nos fue dado(G). _x000D_ </t>
  </si>
  <si>
    <t xml:space="preserve">_x000D_ _x000D_ 43 Pero Él les dijo: También a las otras ciudades debo anunciar las buenas nuevas del reino de Dios, porque para esto(A) yo he sido enviado._x000D_ </t>
  </si>
  <si>
    <t xml:space="preserve">_x000D_ _x000D_ Mujeres que servían a Jesús_x000D_ _x000D_ 8 Y poco [a] después, Él comenzó a recorrer las ciudades y aldeas, proclamando y anunciando las buenas nuevas del reino de Dios(A); con Él iban los doce, _x000D_ </t>
  </si>
  <si>
    <t xml:space="preserve">_x000D_ _x000D_ Una definición del evangelio_x000D_ _x000D_ 16 Porque no me avergüenzo del evangelio(A), pues es el poder de Dios para la salvación de todo el que cree(B); del judío primeramente(C) y también del griego(D). _x000D_ </t>
  </si>
  <si>
    <t xml:space="preserve">_x000D_ _x000D_ 31 Respondiendo Jesús, les dijo: Los sanos no tienen necesidad de médico, sino los que están enfermos(A). 32 No he venido a llamar a justos, sino a pecadores al arrepentimiento._x000D_ </t>
  </si>
  <si>
    <t xml:space="preserve">_x000D_ _x000D_ 12 Pero cuando creyeron a Felipe, que anunciaba las buenas nuevas del reino de Dios(A) y el nombre de Cristo Jesús, se bautizaban(B), tanto hombres como mujeres. _x000D_ </t>
  </si>
  <si>
    <t xml:space="preserve">_x000D_ _x000D_ 4 ¡De ningún modo(A)! Antes bien, sea hallado Dios veraz, aunque todo hombre sea hallado mentiroso(B); como está escrito:_x000D_ _x000D_ _x000D_ Para que seas justificado en tus palabras,_x000D_ y venzas cuando seas juzgado[a](C)._x000D_ </t>
  </si>
  <si>
    <t xml:space="preserve">_x000D_ _x000D_ 5 Y si nuestra injusticia hace resaltar la justicia de Dios(A), ¿qué diremos(B)? ¿Acaso es injusto el Dios que expresa[a] su ira? (Hablo en términos humanos(C)). _x000D_ </t>
  </si>
  <si>
    <t xml:space="preserve">_x000D_ _x000D_ 21 Pero ahora, aparte de la ley[a], la justicia de Dios ha sido manifestada(A), atestiguada por la ley y los profetas(B); 22 es decir, la justicia de Dios por medio de la fe(C) en Jesucristo, para todos los que creen(D); porque no hay distinción(E); 23 por cuanto todos pecaron[b](F) y no alcanzan la gloria de Dios, 24 siendo justificados gratuitamente por su gracia por medio de la redención que es en Cristo Jesús(G), _x000D_ </t>
  </si>
  <si>
    <t xml:space="preserve">_x000D_ _x000D_ 17 Pues Cristo no me envió a bautizar(A), sino a predicar[a] el evangelio, no con palabras elocuentes[b](B), para que no se haga vana la cruz de Cristo._x000D_ </t>
  </si>
  <si>
    <t xml:space="preserve">_x000D_ _x000D_ 15 Porque aunque tengáis innumerables maestros[a] en Cristo(A), sin embargo no tenéis muchos padres; pues en Cristo Jesús(B) yo os engendré(C) por medio del evangelio(D). _x000D_ </t>
  </si>
  <si>
    <t xml:space="preserve">_x000D_ _x000D_ El hombre ha ignorado a Dios_x000D_ _x000D_ 18 Porque la ira de Dios se revela desde el cielo contra toda impiedad e injusticia de los hombres(A), que con[a] injusticia restringen(B) la verdad; _x000D_ </t>
  </si>
  <si>
    <t xml:space="preserve">_x000D_ _x000D_ Todos han pecado_x000D_ _x000D_ 9 ¿Entonces qué? ¿Somos nosotros mejores[a] que ellos(A)? De ninguna manera; porque ya hemos denunciado que tanto judíos como griegos están todos bajo pecado(B); 10 como está escrito:_x000D_ _x000D_ _x000D_ (C)No hay justo, ni aun uno;_x000D_ 11 no hay quien entienda,_x000D_ no hay quien busque a Dios;_x000D_ 12 todos se han desviado, a una se hicieron inútiles;_x000D_ no hay quien haga lo bueno,_x000D_ no hay ni siquiera uno._x000D_ 13 Sepulcro abierto es su garganta,_x000D_ engañan de continuo con su lengua(D),_x000D_ veneno de serpientes[b] hay bajo sus labios(E);_x000D_ 14 llena está su boca de maldición y amargura(F);_x000D_ 15 (G)sus pies son veloces para derramar sangre;_x000D_ 16 destrucción y miseria hay en sus caminos,_x000D_ 17 y la senda de paz no han conocido._x000D_ 18 No hay temor de Dios delante de sus ojos(H)._x000D_ </t>
  </si>
  <si>
    <t xml:space="preserve">_x000D_ _x000D_ 30 porque en verdad Dios es uno(A), el cual justificará en virtud de la fe a los circuncisos[a](B) y por medio de la fe a los incircuncisos[b](C)._x000D_ </t>
  </si>
  <si>
    <t xml:space="preserve">_x000D_ _x000D_ 14 Tengo obligación[a](A) tanto para con los griegos como para con los bárbaros[b](B), para con los sabios como para con los ignorantes. _x000D_ </t>
  </si>
  <si>
    <t xml:space="preserve">_x000D_ _x000D_ 15 Así que, por mi parte, ansioso estoy de anunciar el evangelio(A) también a vosotros que estáis en Roma._x000D_ </t>
  </si>
  <si>
    <t xml:space="preserve">_x000D_ _x000D_ Una definición del evangelio_x000D_ _x000D_ 16 Porque no me avergüenzo del evangelio(A), pues es el poder de Dios para la salvación de todo el que cree(B); del judío primeramente(C) y también del griego(D). 17 Porque en el evangelio[a] la justicia de Dios se revela por[b] fe y para fe(E); como está escrito: Mas el justo por la fe vivirá[c](F)._x000D_ </t>
  </si>
  <si>
    <t xml:space="preserve">_x000D_ _x000D_ 11 A lo suyo vino, y los suyos no le recibieron. 12 Pero a todos los que le recibieron, les dio el derecho[a] de llegar a ser hijos de Dios(A), es decir, a los que creen en su nombre(B), _x000D_ </t>
  </si>
  <si>
    <t xml:space="preserve">_x000D_ _x000D_ Los dos malhechores_x000D_ _x000D_ 39 Y uno de los malhechores que estaban colgados allí le lanzaba insultos[a](A), diciendo: ¿No eres tú el Cristo[b]? ¡Sálvate a ti mismo(B) y a nosotros! 40 Pero el otro le contestó, y reprendiéndole, dijo: ¿Ni siquiera temes tú a Dios a pesar de que estás bajo la misma condena? 41 Y nosotros a la verdad, justamente, porque recibimos lo que merecemos por nuestros hechos[c]; pero este nada malo ha hecho. 42 Y decía: Jesús, acuérdate de mí cuando vengas en[d] tu reino. 43 Entonces Él le dijo: En verdad te digo: hoy estarás conmigo en el paraíso(C)._x000D_ </t>
  </si>
  <si>
    <t xml:space="preserve">_x000D_ _x000D_ 44 Y volviéndose hacia la mujer, le dijo a Simón: ¿Ves esta mujer? Yo entré a tu casa y no me diste agua para los pies(A), pero ella ha regado mis pies con sus lágrimas y los ha secado con sus cabellos. 45 No me diste beso(B), pero ella, desde que entré, no ha cesado[a] de besar mis pies. 46 No ungiste mi cabeza con aceite(C), pero ella ungió mis pies con perfume. 47 Por lo cual te digo que sus pecados, que son muchos, han sido perdonados, porque amó mucho; pero a quien poco se le perdona, poco ama. _x000D_ </t>
  </si>
  <si>
    <t xml:space="preserve">_x000D_ _x000D_ 20 Porque todo el que hace lo malo odia la luz(A), y no viene a la luz para que sus acciones no sean expuestas. 21 Pero el que practica la verdad(B) viene a la luz, para que sus acciones sean manifestadas que han sido hechas en Dios._x000D_ </t>
  </si>
  <si>
    <t xml:space="preserve">_x000D_ _x000D_ 15 para que todo aquel que cree, tenga en Él[a] vida eterna(A)._x000D_ </t>
  </si>
  <si>
    <t xml:space="preserve">_x000D_ _x000D_ Cristo, poder de Dios_x000D_ _x000D_ 18 Porque la palabra de la cruz es necedad(A) para los que se pierden[a](B), pero para nosotros los salvos[b] es poder de Dios(C). _x000D_ </t>
  </si>
  <si>
    <t xml:space="preserve">_x000D_ _x000D_ 21 Porque ya que en la sabiduría de Dios el mundo no conoció a Dios(A) por medio de su propia sabiduría, agradó a Dios(B), mediante la necedad(C) de la predicación, salvar a los que creen(D). _x000D_ </t>
  </si>
  <si>
    <t xml:space="preserve">_x000D_ _x000D_ 18 El que cree en Él no es condenado[a](A); pero el que no cree, ya ha sido condenado[b], porque no ha creído en el nombre del unigénito[c] Hijo de Dios(B). 19 Y este es el juicio: que la luz vino al mundo(C), y los hombres amaron más las tinieblas que la luz, pues sus acciones eran malas(D). _x000D_ </t>
  </si>
  <si>
    <t xml:space="preserve">_x000D_ _x000D_ 20 Y la ley se introdujo para que abundara la transgresión(A), pero donde el pecado abundó, sobreabundó la gracia(B), _x000D_ </t>
  </si>
  <si>
    <t xml:space="preserve">_x000D_ _x000D_ 23 Porque la paga del pecado es muerte(A), pero la dádiva de Dios es vida eterna en Cristo Jesús Señor nuestro(B)._x000D_ </t>
  </si>
  <si>
    <t xml:space="preserve">_x000D_ _x000D_ 6 entre los cuales estáis también vosotros, llamados de Jesucristo(A); 7 a todos los amados de Dios(B) que están en Roma, llamados a ser santos(C): Gracia a vosotros y paz de parte de Dios nuestro Padre y del Señor Jesucristo(D)._x000D_ </t>
  </si>
  <si>
    <t xml:space="preserve">_x000D_ _x000D_ No hay otro evangelio_x000D_ _x000D_ 6 Me maravillo de que tan pronto hayáis abandonado[a] al que os llamó(A) por[b] la gracia de Cristo, para seguir un evangelio diferente(B); 7 que en realidad no es otro evangelio, solo que hay algunos que os perturban(C) y quieren pervertir el evangelio de Cristo. 8 Pero si aun nosotros, o un ángel del cielo(D), os anunciara otro evangelio contrario al[c] que os hemos anunciado, sea anatema[d](E). 9 Como hemos dicho antes(F), también repito ahora: Si alguno os anuncia un evangelio contrario al[e] que recibisteis(G), sea anatema[f](H). _x000D_ </t>
  </si>
  <si>
    <t xml:space="preserve">_x000D_ _x000D_ 24 siendo justificados gratuitamente por su gracia por medio de la redención que es en Cristo Jesús(A), 25 a quien Dios exhibió públicamente como propiciación[a](B) por su sangre(C) a través de la fe, como demostración de su justicia, porque en su tolerancia, Dios(D) pasó por alto los pecados cometidos anteriormente[b](E), _x000D_ </t>
  </si>
  <si>
    <t>v.1 Elevar el alma a Dios</t>
  </si>
  <si>
    <t>El alma siente alegría</t>
  </si>
  <si>
    <t>El alma siente angustia</t>
  </si>
  <si>
    <t>El alma puede o no entregarse a lo vano</t>
  </si>
  <si>
    <t>El alma puede sentir amor</t>
  </si>
  <si>
    <t>V.1 El alma se lleva a Dios porque tiene necesidades</t>
  </si>
  <si>
    <t>v.1 Elevar el alma a Dios (es llevarle nuestros sentimientos)</t>
  </si>
  <si>
    <t>Necesidad de ser confortada (hallar descanso)</t>
  </si>
  <si>
    <t>Necesidad de ser perdonada y sanada</t>
  </si>
  <si>
    <t>Necesidad de Redención (Rescate)</t>
  </si>
  <si>
    <t>Necesidad de tener esperanza</t>
  </si>
  <si>
    <t>Necesidad de ser saciada</t>
  </si>
  <si>
    <t>El alma se lleva a Dios porque también tiene un destino</t>
  </si>
  <si>
    <t>El alma es juzgada</t>
  </si>
  <si>
    <t>El alma Deja el cuerpo al morir</t>
  </si>
  <si>
    <t>Toda alma pertenece a Dios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</si>
</sst>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1">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I860" totalsRowShown="0" headerRowDxfId="10">
  <autoFilter ref="A1:I860" xr:uid="{0F534DC0-C216-4594-8648-9D4F0B999606}"/>
  <tableColumns count="9">
    <tableColumn id="1" xr3:uid="{9233FEBF-F03D-484B-AEC3-C9958016F8CF}" name="ID_REF" dataDxfId="9">
      <calculatedColumnFormula>IF(BD_Versos[[#This Row],[Tema_Principal]]="","",ROW(BD_Versos[[#This Row],[Tema_Principal]])-1)</calculatedColumnFormula>
    </tableColumn>
    <tableColumn id="2" xr3:uid="{9BF3E82A-BAEF-460A-8441-159B13B2B711}" name="Tema_Principal" dataDxfId="8"/>
    <tableColumn id="3" xr3:uid="{E55C2286-2AF8-47BB-BE46-6959CD479D5F}" name="Subtema" dataDxfId="7"/>
    <tableColumn id="4" xr3:uid="{9C344D3B-4DCB-4FC8-A47B-9B155BC0E605}" name="Libro" dataDxfId="6"/>
    <tableColumn id="5" xr3:uid="{91586F71-340B-477B-AF86-FB03253FA9EB}" name="Capítulo" dataDxfId="5"/>
    <tableColumn id="6" xr3:uid="{B613B809-F7FC-4DF1-978A-8B975B3DD39F}" name="Versículo" dataDxfId="4"/>
    <tableColumn id="7" xr3:uid="{5857187A-B955-4686-BB3F-CC18817AE6AC}" name="Texto_Verso" dataDxfId="3">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8</v>
      </c>
      <c r="B5" t="s">
        <v>23</v>
      </c>
      <c r="C5" t="s">
        <v>24</v>
      </c>
      <c r="D5">
        <v>12</v>
      </c>
      <c r="E5" t="s">
        <v>25</v>
      </c>
      <c r="F5" s="8" t="s">
        <v>165</v>
      </c>
    </row>
    <row r="6" spans="1:6" ht="45" x14ac:dyDescent="0.25">
      <c r="B6" t="s">
        <v>16</v>
      </c>
      <c r="C6" t="s">
        <v>17</v>
      </c>
      <c r="D6">
        <v>2</v>
      </c>
      <c r="E6">
        <v>16</v>
      </c>
      <c r="F6" s="8" t="s">
        <v>166</v>
      </c>
    </row>
    <row r="7" spans="1:6" ht="30" x14ac:dyDescent="0.25">
      <c r="B7" t="s">
        <v>19</v>
      </c>
      <c r="C7" t="s">
        <v>20</v>
      </c>
      <c r="D7">
        <v>2</v>
      </c>
      <c r="E7">
        <v>5</v>
      </c>
      <c r="F7" s="8" t="s">
        <v>167</v>
      </c>
    </row>
    <row r="8" spans="1:6" ht="45" x14ac:dyDescent="0.25">
      <c r="B8" t="s">
        <v>14</v>
      </c>
      <c r="C8" t="s">
        <v>15</v>
      </c>
      <c r="D8">
        <v>2</v>
      </c>
      <c r="E8">
        <v>2</v>
      </c>
      <c r="F8" s="8" t="s">
        <v>168</v>
      </c>
    </row>
    <row r="9" spans="1:6" ht="60" x14ac:dyDescent="0.25">
      <c r="B9" t="s">
        <v>21</v>
      </c>
      <c r="C9" t="s">
        <v>20</v>
      </c>
      <c r="D9">
        <v>4</v>
      </c>
      <c r="E9" t="s">
        <v>22</v>
      </c>
      <c r="F9" s="8" t="s">
        <v>169</v>
      </c>
    </row>
    <row r="10" spans="1:6" ht="30" x14ac:dyDescent="0.25">
      <c r="B10" t="s">
        <v>18</v>
      </c>
      <c r="C10" t="s">
        <v>17</v>
      </c>
      <c r="D10">
        <v>3</v>
      </c>
      <c r="E10">
        <v>14</v>
      </c>
      <c r="F10" s="8" t="s">
        <v>170</v>
      </c>
    </row>
    <row r="11" spans="1:6" ht="90" x14ac:dyDescent="0.25">
      <c r="B11" t="s">
        <v>11</v>
      </c>
      <c r="C11" t="s">
        <v>12</v>
      </c>
      <c r="D11">
        <v>9</v>
      </c>
      <c r="E11" t="s">
        <v>13</v>
      </c>
      <c r="F11" s="8" t="s">
        <v>171</v>
      </c>
    </row>
    <row r="12" spans="1:6" ht="60" x14ac:dyDescent="0.25">
      <c r="B12" t="s">
        <v>9</v>
      </c>
      <c r="C12" t="s">
        <v>10</v>
      </c>
      <c r="D12">
        <v>20</v>
      </c>
      <c r="E12">
        <v>24</v>
      </c>
      <c r="F12" s="8" t="s">
        <v>172</v>
      </c>
    </row>
    <row r="13" spans="1:6" ht="60" x14ac:dyDescent="0.25">
      <c r="A13" t="s">
        <v>26</v>
      </c>
      <c r="B13" t="s">
        <v>163</v>
      </c>
      <c r="C13" t="s">
        <v>12</v>
      </c>
      <c r="D13">
        <v>7</v>
      </c>
      <c r="E13" t="s">
        <v>32</v>
      </c>
      <c r="F13" s="8" t="s">
        <v>173</v>
      </c>
    </row>
    <row r="14" spans="1:6" ht="30" x14ac:dyDescent="0.25">
      <c r="C14" t="s">
        <v>33</v>
      </c>
      <c r="D14">
        <v>2</v>
      </c>
      <c r="E14" t="s">
        <v>34</v>
      </c>
      <c r="F14" s="8" t="s">
        <v>174</v>
      </c>
    </row>
    <row r="15" spans="1:6" ht="45" x14ac:dyDescent="0.25">
      <c r="D15">
        <v>11</v>
      </c>
      <c r="E15" t="s">
        <v>35</v>
      </c>
      <c r="F15" s="8" t="s">
        <v>175</v>
      </c>
    </row>
    <row r="16" spans="1:6" ht="30" x14ac:dyDescent="0.25">
      <c r="C16" t="s">
        <v>37</v>
      </c>
      <c r="D16">
        <v>2</v>
      </c>
      <c r="E16" t="s">
        <v>38</v>
      </c>
      <c r="F16" s="8" t="s">
        <v>176</v>
      </c>
    </row>
    <row r="17" spans="1:6" ht="45" x14ac:dyDescent="0.25">
      <c r="C17" t="s">
        <v>39</v>
      </c>
      <c r="D17">
        <v>12</v>
      </c>
      <c r="E17" t="s">
        <v>38</v>
      </c>
      <c r="F17" s="8" t="s">
        <v>177</v>
      </c>
    </row>
    <row r="18" spans="1:6" ht="30" x14ac:dyDescent="0.25">
      <c r="D18">
        <v>20</v>
      </c>
      <c r="E18" t="s">
        <v>40</v>
      </c>
      <c r="F18" s="8" t="s">
        <v>178</v>
      </c>
    </row>
    <row r="19" spans="1:6" ht="30" x14ac:dyDescent="0.25">
      <c r="C19" t="s">
        <v>36</v>
      </c>
      <c r="D19">
        <v>6</v>
      </c>
      <c r="E19" t="s">
        <v>34</v>
      </c>
      <c r="F19" s="8" t="s">
        <v>179</v>
      </c>
    </row>
    <row r="20" spans="1:6" ht="30" x14ac:dyDescent="0.25">
      <c r="C20" t="s">
        <v>30</v>
      </c>
      <c r="D20">
        <v>4</v>
      </c>
      <c r="E20" t="s">
        <v>31</v>
      </c>
      <c r="F20" s="8" t="s">
        <v>180</v>
      </c>
    </row>
    <row r="21" spans="1:6" ht="45" x14ac:dyDescent="0.25">
      <c r="C21" t="s">
        <v>27</v>
      </c>
      <c r="D21">
        <v>4</v>
      </c>
      <c r="E21" t="s">
        <v>28</v>
      </c>
      <c r="F21" s="8" t="s">
        <v>181</v>
      </c>
    </row>
    <row r="22" spans="1:6" ht="45" x14ac:dyDescent="0.25">
      <c r="D22">
        <v>8</v>
      </c>
      <c r="E22" t="s">
        <v>29</v>
      </c>
      <c r="F22" s="8" t="s">
        <v>182</v>
      </c>
    </row>
    <row r="23" spans="1:6" ht="45" x14ac:dyDescent="0.25">
      <c r="A23" t="s">
        <v>41</v>
      </c>
      <c r="B23" t="s">
        <v>161</v>
      </c>
      <c r="C23" t="s">
        <v>99</v>
      </c>
      <c r="D23">
        <v>5</v>
      </c>
      <c r="E23" t="s">
        <v>105</v>
      </c>
      <c r="F23" s="8" t="s">
        <v>183</v>
      </c>
    </row>
    <row r="24" spans="1:6" ht="30" x14ac:dyDescent="0.25">
      <c r="C24" t="s">
        <v>97</v>
      </c>
      <c r="D24">
        <v>5</v>
      </c>
      <c r="E24" t="s">
        <v>115</v>
      </c>
      <c r="F24" s="8" t="s">
        <v>184</v>
      </c>
    </row>
    <row r="25" spans="1:6" ht="30" x14ac:dyDescent="0.25">
      <c r="C25" t="s">
        <v>55</v>
      </c>
      <c r="D25">
        <v>13</v>
      </c>
      <c r="E25" t="s">
        <v>115</v>
      </c>
      <c r="F25" s="8" t="s">
        <v>185</v>
      </c>
    </row>
    <row r="26" spans="1:6" ht="30" x14ac:dyDescent="0.25">
      <c r="C26" t="s">
        <v>36</v>
      </c>
      <c r="D26">
        <v>4</v>
      </c>
      <c r="E26" t="s">
        <v>48</v>
      </c>
      <c r="F26" s="8" t="s">
        <v>186</v>
      </c>
    </row>
    <row r="27" spans="1:6" ht="30" x14ac:dyDescent="0.25">
      <c r="D27">
        <v>6</v>
      </c>
      <c r="E27" t="s">
        <v>34</v>
      </c>
      <c r="F27" s="8" t="s">
        <v>179</v>
      </c>
    </row>
    <row r="28" spans="1:6" ht="30" x14ac:dyDescent="0.25">
      <c r="C28" t="s">
        <v>30</v>
      </c>
      <c r="D28">
        <v>4</v>
      </c>
      <c r="E28" t="s">
        <v>115</v>
      </c>
      <c r="F28" s="8" t="s">
        <v>187</v>
      </c>
    </row>
    <row r="29" spans="1:6" ht="30" x14ac:dyDescent="0.25">
      <c r="C29" t="s">
        <v>47</v>
      </c>
      <c r="D29">
        <v>4</v>
      </c>
      <c r="E29" t="s">
        <v>116</v>
      </c>
      <c r="F29" s="8" t="s">
        <v>188</v>
      </c>
    </row>
    <row r="30" spans="1:6" x14ac:dyDescent="0.25">
      <c r="C30" t="s">
        <v>96</v>
      </c>
      <c r="D30">
        <v>4</v>
      </c>
      <c r="E30" t="s">
        <v>40</v>
      </c>
      <c r="F30" s="8" t="s">
        <v>189</v>
      </c>
    </row>
    <row r="31" spans="1:6" ht="30" x14ac:dyDescent="0.25">
      <c r="B31" t="s">
        <v>156</v>
      </c>
      <c r="C31" t="s">
        <v>33</v>
      </c>
      <c r="D31">
        <v>2</v>
      </c>
      <c r="E31" t="s">
        <v>34</v>
      </c>
      <c r="F31" s="8" t="s">
        <v>174</v>
      </c>
    </row>
    <row r="32" spans="1:6" ht="30" x14ac:dyDescent="0.25">
      <c r="D32">
        <v>11</v>
      </c>
      <c r="E32" t="s">
        <v>44</v>
      </c>
      <c r="F32" s="8" t="s">
        <v>190</v>
      </c>
    </row>
    <row r="33" spans="2:6" ht="60" x14ac:dyDescent="0.25">
      <c r="C33" t="s">
        <v>39</v>
      </c>
      <c r="D33">
        <v>13</v>
      </c>
      <c r="E33" t="s">
        <v>44</v>
      </c>
      <c r="F33" s="8" t="s">
        <v>191</v>
      </c>
    </row>
    <row r="34" spans="2:6" ht="75" x14ac:dyDescent="0.25">
      <c r="D34">
        <v>19</v>
      </c>
      <c r="E34" t="s">
        <v>114</v>
      </c>
      <c r="F34" s="8" t="s">
        <v>192</v>
      </c>
    </row>
    <row r="35" spans="2:6" ht="75" x14ac:dyDescent="0.25">
      <c r="D35">
        <v>20</v>
      </c>
      <c r="E35" t="s">
        <v>22</v>
      </c>
      <c r="F35" s="8" t="s">
        <v>193</v>
      </c>
    </row>
    <row r="36" spans="2:6" ht="30" x14ac:dyDescent="0.25">
      <c r="C36" t="s">
        <v>43</v>
      </c>
      <c r="D36">
        <v>3</v>
      </c>
      <c r="E36" t="s">
        <v>32</v>
      </c>
      <c r="F36" s="8" t="s">
        <v>194</v>
      </c>
    </row>
    <row r="37" spans="2:6" ht="75" x14ac:dyDescent="0.25">
      <c r="C37" t="s">
        <v>88</v>
      </c>
      <c r="D37">
        <v>8</v>
      </c>
      <c r="E37" t="s">
        <v>140</v>
      </c>
      <c r="F37" s="8" t="s">
        <v>195</v>
      </c>
    </row>
    <row r="38" spans="2:6" ht="30" x14ac:dyDescent="0.25">
      <c r="C38" t="s">
        <v>27</v>
      </c>
      <c r="D38">
        <v>1</v>
      </c>
      <c r="E38" t="s">
        <v>110</v>
      </c>
      <c r="F38" s="8" t="s">
        <v>196</v>
      </c>
    </row>
    <row r="39" spans="2:6" ht="45" x14ac:dyDescent="0.25">
      <c r="C39" t="s">
        <v>47</v>
      </c>
      <c r="D39">
        <v>4</v>
      </c>
      <c r="E39" t="s">
        <v>31</v>
      </c>
      <c r="F39" s="8" t="s">
        <v>197</v>
      </c>
    </row>
    <row r="40" spans="2:6" ht="75" x14ac:dyDescent="0.25">
      <c r="B40" t="s">
        <v>117</v>
      </c>
      <c r="C40" t="s">
        <v>33</v>
      </c>
      <c r="D40">
        <v>4</v>
      </c>
      <c r="E40" t="s">
        <v>127</v>
      </c>
      <c r="F40" s="8" t="s">
        <v>198</v>
      </c>
    </row>
    <row r="41" spans="2:6" ht="30" x14ac:dyDescent="0.25">
      <c r="C41" t="s">
        <v>37</v>
      </c>
      <c r="D41">
        <v>2</v>
      </c>
      <c r="E41" t="s">
        <v>38</v>
      </c>
      <c r="F41" s="8" t="s">
        <v>176</v>
      </c>
    </row>
    <row r="42" spans="2:6" ht="30" x14ac:dyDescent="0.25">
      <c r="C42" t="s">
        <v>20</v>
      </c>
      <c r="D42">
        <v>2</v>
      </c>
      <c r="E42" t="s">
        <v>48</v>
      </c>
      <c r="F42" s="8" t="s">
        <v>199</v>
      </c>
    </row>
    <row r="43" spans="2:6" ht="30" x14ac:dyDescent="0.25">
      <c r="C43" t="s">
        <v>39</v>
      </c>
      <c r="D43">
        <v>11</v>
      </c>
      <c r="E43" t="s">
        <v>40</v>
      </c>
      <c r="F43" s="8" t="s">
        <v>200</v>
      </c>
    </row>
    <row r="44" spans="2:6" ht="45" x14ac:dyDescent="0.25">
      <c r="D44">
        <v>13</v>
      </c>
      <c r="E44" t="s">
        <v>46</v>
      </c>
      <c r="F44" s="8" t="s">
        <v>201</v>
      </c>
    </row>
    <row r="45" spans="2:6" ht="45" x14ac:dyDescent="0.25">
      <c r="E45" t="s">
        <v>40</v>
      </c>
      <c r="F45" s="8" t="s">
        <v>202</v>
      </c>
    </row>
    <row r="46" spans="2:6" ht="30" x14ac:dyDescent="0.25">
      <c r="C46" t="s">
        <v>91</v>
      </c>
      <c r="D46">
        <v>1</v>
      </c>
      <c r="E46" t="s">
        <v>110</v>
      </c>
      <c r="F46" s="8" t="s">
        <v>203</v>
      </c>
    </row>
    <row r="47" spans="2:6" ht="60" x14ac:dyDescent="0.25">
      <c r="C47" t="s">
        <v>36</v>
      </c>
      <c r="D47">
        <v>6</v>
      </c>
      <c r="E47" t="s">
        <v>107</v>
      </c>
      <c r="F47" s="8" t="s">
        <v>204</v>
      </c>
    </row>
    <row r="48" spans="2:6" ht="45" x14ac:dyDescent="0.25">
      <c r="C48" t="s">
        <v>24</v>
      </c>
      <c r="D48">
        <v>2</v>
      </c>
      <c r="E48" t="s">
        <v>44</v>
      </c>
      <c r="F48" s="8" t="s">
        <v>205</v>
      </c>
    </row>
    <row r="49" spans="2:6" ht="60" x14ac:dyDescent="0.25">
      <c r="C49" t="s">
        <v>10</v>
      </c>
      <c r="D49">
        <v>26</v>
      </c>
      <c r="E49" t="s">
        <v>105</v>
      </c>
      <c r="F49" s="8" t="s">
        <v>206</v>
      </c>
    </row>
    <row r="50" spans="2:6" ht="45" x14ac:dyDescent="0.25">
      <c r="C50" t="s">
        <v>45</v>
      </c>
      <c r="D50">
        <v>1</v>
      </c>
      <c r="E50" t="s">
        <v>107</v>
      </c>
      <c r="F50" s="8" t="s">
        <v>207</v>
      </c>
    </row>
    <row r="51" spans="2:6" ht="30" x14ac:dyDescent="0.25">
      <c r="C51" t="s">
        <v>30</v>
      </c>
      <c r="D51">
        <v>4</v>
      </c>
      <c r="E51" t="s">
        <v>31</v>
      </c>
      <c r="F51" s="8" t="s">
        <v>180</v>
      </c>
    </row>
    <row r="52" spans="2:6" ht="60" x14ac:dyDescent="0.25">
      <c r="D52">
        <v>8</v>
      </c>
      <c r="E52" t="s">
        <v>108</v>
      </c>
      <c r="F52" s="8" t="s">
        <v>208</v>
      </c>
    </row>
    <row r="53" spans="2:6" ht="30" x14ac:dyDescent="0.25">
      <c r="D53">
        <v>11</v>
      </c>
      <c r="E53" t="s">
        <v>120</v>
      </c>
      <c r="F53" s="8" t="s">
        <v>209</v>
      </c>
    </row>
    <row r="54" spans="2:6" ht="45" x14ac:dyDescent="0.25">
      <c r="D54">
        <v>13</v>
      </c>
      <c r="E54" t="s">
        <v>121</v>
      </c>
      <c r="F54" s="8" t="s">
        <v>210</v>
      </c>
    </row>
    <row r="55" spans="2:6" ht="45" x14ac:dyDescent="0.25">
      <c r="D55">
        <v>22</v>
      </c>
      <c r="E55" t="s">
        <v>122</v>
      </c>
      <c r="F55" s="8" t="s">
        <v>211</v>
      </c>
    </row>
    <row r="56" spans="2:6" ht="45" x14ac:dyDescent="0.25">
      <c r="C56" t="s">
        <v>27</v>
      </c>
      <c r="D56">
        <v>3</v>
      </c>
      <c r="E56" t="s">
        <v>109</v>
      </c>
      <c r="F56" s="8" t="s">
        <v>212</v>
      </c>
    </row>
    <row r="57" spans="2:6" ht="60" x14ac:dyDescent="0.25">
      <c r="D57">
        <v>5</v>
      </c>
      <c r="E57" t="s">
        <v>110</v>
      </c>
      <c r="F57" s="8" t="s">
        <v>213</v>
      </c>
    </row>
    <row r="58" spans="2:6" ht="45" x14ac:dyDescent="0.25">
      <c r="E58" t="s">
        <v>119</v>
      </c>
      <c r="F58" s="8" t="s">
        <v>214</v>
      </c>
    </row>
    <row r="59" spans="2:6" ht="45" x14ac:dyDescent="0.25">
      <c r="D59">
        <v>9</v>
      </c>
      <c r="E59" t="s">
        <v>105</v>
      </c>
      <c r="F59" s="8" t="s">
        <v>215</v>
      </c>
    </row>
    <row r="60" spans="2:6" ht="45" x14ac:dyDescent="0.25">
      <c r="E60" t="s">
        <v>48</v>
      </c>
      <c r="F60" s="8" t="s">
        <v>216</v>
      </c>
    </row>
    <row r="61" spans="2:6" ht="45" x14ac:dyDescent="0.25">
      <c r="C61" t="s">
        <v>47</v>
      </c>
      <c r="D61">
        <v>8</v>
      </c>
      <c r="E61" t="s">
        <v>118</v>
      </c>
      <c r="F61" s="8" t="s">
        <v>217</v>
      </c>
    </row>
    <row r="62" spans="2:6" ht="45" x14ac:dyDescent="0.25">
      <c r="D62">
        <v>12</v>
      </c>
      <c r="E62" t="s">
        <v>108</v>
      </c>
      <c r="F62" s="8" t="s">
        <v>218</v>
      </c>
    </row>
    <row r="63" spans="2:6" x14ac:dyDescent="0.25">
      <c r="B63" t="s">
        <v>42</v>
      </c>
      <c r="C63" t="s">
        <v>93</v>
      </c>
      <c r="D63">
        <v>5</v>
      </c>
      <c r="E63" t="s">
        <v>28</v>
      </c>
      <c r="F63" s="8" t="s">
        <v>219</v>
      </c>
    </row>
    <row r="64" spans="2:6" ht="30" x14ac:dyDescent="0.25">
      <c r="C64" t="s">
        <v>33</v>
      </c>
      <c r="D64">
        <v>11</v>
      </c>
      <c r="E64" t="s">
        <v>44</v>
      </c>
      <c r="F64" s="8" t="s">
        <v>190</v>
      </c>
    </row>
    <row r="65" spans="2:6" ht="30" x14ac:dyDescent="0.25">
      <c r="C65" t="s">
        <v>39</v>
      </c>
      <c r="D65">
        <v>9</v>
      </c>
      <c r="E65" t="s">
        <v>34</v>
      </c>
      <c r="F65" s="8" t="s">
        <v>220</v>
      </c>
    </row>
    <row r="66" spans="2:6" ht="30" x14ac:dyDescent="0.25">
      <c r="D66">
        <v>20</v>
      </c>
      <c r="E66" t="s">
        <v>46</v>
      </c>
      <c r="F66" s="8" t="s">
        <v>221</v>
      </c>
    </row>
    <row r="67" spans="2:6" ht="30" x14ac:dyDescent="0.25">
      <c r="E67" t="s">
        <v>40</v>
      </c>
      <c r="F67" s="8" t="s">
        <v>178</v>
      </c>
    </row>
    <row r="68" spans="2:6" ht="60" x14ac:dyDescent="0.25">
      <c r="C68" t="s">
        <v>43</v>
      </c>
      <c r="D68">
        <v>3</v>
      </c>
      <c r="E68" t="s">
        <v>44</v>
      </c>
      <c r="F68" s="8" t="s">
        <v>222</v>
      </c>
    </row>
    <row r="69" spans="2:6" ht="30" x14ac:dyDescent="0.25">
      <c r="C69" t="s">
        <v>45</v>
      </c>
      <c r="D69">
        <v>1</v>
      </c>
      <c r="E69" t="s">
        <v>31</v>
      </c>
      <c r="F69" s="8" t="s">
        <v>223</v>
      </c>
    </row>
    <row r="70" spans="2:6" ht="30" x14ac:dyDescent="0.25">
      <c r="D70">
        <v>2</v>
      </c>
      <c r="E70" t="s">
        <v>46</v>
      </c>
      <c r="F70" s="8" t="s">
        <v>224</v>
      </c>
    </row>
    <row r="71" spans="2:6" ht="60" x14ac:dyDescent="0.25">
      <c r="C71" t="s">
        <v>102</v>
      </c>
      <c r="D71">
        <v>1</v>
      </c>
      <c r="E71" t="s">
        <v>38</v>
      </c>
      <c r="F71" s="8" t="s">
        <v>225</v>
      </c>
    </row>
    <row r="72" spans="2:6" ht="45" x14ac:dyDescent="0.25">
      <c r="C72" t="s">
        <v>30</v>
      </c>
      <c r="D72">
        <v>11</v>
      </c>
      <c r="E72" t="s">
        <v>105</v>
      </c>
      <c r="F72" s="8" t="s">
        <v>226</v>
      </c>
    </row>
    <row r="73" spans="2:6" ht="30" x14ac:dyDescent="0.25">
      <c r="C73" t="s">
        <v>47</v>
      </c>
      <c r="D73">
        <v>12</v>
      </c>
      <c r="E73" t="s">
        <v>48</v>
      </c>
      <c r="F73" s="8" t="s">
        <v>227</v>
      </c>
    </row>
    <row r="74" spans="2:6" x14ac:dyDescent="0.25">
      <c r="B74" t="s">
        <v>106</v>
      </c>
      <c r="C74" t="s">
        <v>12</v>
      </c>
      <c r="D74">
        <v>15</v>
      </c>
      <c r="E74" t="s">
        <v>48</v>
      </c>
      <c r="F74" s="8" t="s">
        <v>228</v>
      </c>
    </row>
    <row r="75" spans="2:6" ht="45" x14ac:dyDescent="0.25">
      <c r="C75" t="s">
        <v>99</v>
      </c>
      <c r="D75">
        <v>3</v>
      </c>
      <c r="E75" t="s">
        <v>115</v>
      </c>
      <c r="F75" s="8" t="s">
        <v>229</v>
      </c>
    </row>
    <row r="76" spans="2:6" ht="45" x14ac:dyDescent="0.25">
      <c r="C76" t="s">
        <v>37</v>
      </c>
      <c r="D76">
        <v>2</v>
      </c>
      <c r="E76" t="s">
        <v>115</v>
      </c>
      <c r="F76" s="8" t="s">
        <v>230</v>
      </c>
    </row>
    <row r="77" spans="2:6" ht="45" x14ac:dyDescent="0.25">
      <c r="C77" t="s">
        <v>39</v>
      </c>
      <c r="D77">
        <v>20</v>
      </c>
      <c r="E77" t="s">
        <v>116</v>
      </c>
      <c r="F77" s="8" t="s">
        <v>231</v>
      </c>
    </row>
    <row r="78" spans="2:6" ht="45" x14ac:dyDescent="0.25">
      <c r="C78" t="s">
        <v>43</v>
      </c>
      <c r="D78">
        <v>3</v>
      </c>
      <c r="E78" t="s">
        <v>28</v>
      </c>
      <c r="F78" s="8" t="s">
        <v>232</v>
      </c>
    </row>
    <row r="79" spans="2:6" ht="45" x14ac:dyDescent="0.25">
      <c r="C79" t="s">
        <v>24</v>
      </c>
      <c r="D79">
        <v>2</v>
      </c>
      <c r="E79" t="s">
        <v>44</v>
      </c>
      <c r="F79" s="8" t="s">
        <v>205</v>
      </c>
    </row>
    <row r="80" spans="2:6" ht="45" x14ac:dyDescent="0.25">
      <c r="C80" t="s">
        <v>88</v>
      </c>
      <c r="D80">
        <v>12</v>
      </c>
      <c r="E80" t="s">
        <v>113</v>
      </c>
      <c r="F80" s="8" t="s">
        <v>233</v>
      </c>
    </row>
    <row r="81" spans="2:6" ht="30" x14ac:dyDescent="0.25">
      <c r="D81">
        <v>14</v>
      </c>
      <c r="E81" t="s">
        <v>112</v>
      </c>
      <c r="F81" s="8" t="s">
        <v>234</v>
      </c>
    </row>
    <row r="82" spans="2:6" ht="30" x14ac:dyDescent="0.25">
      <c r="C82" t="s">
        <v>30</v>
      </c>
      <c r="D82">
        <v>4</v>
      </c>
      <c r="E82" t="s">
        <v>110</v>
      </c>
      <c r="F82" s="8" t="s">
        <v>235</v>
      </c>
    </row>
    <row r="83" spans="2:6" ht="30" x14ac:dyDescent="0.25">
      <c r="D83">
        <v>11</v>
      </c>
      <c r="E83" t="s">
        <v>111</v>
      </c>
      <c r="F83" s="8" t="s">
        <v>236</v>
      </c>
    </row>
    <row r="84" spans="2:6" ht="45" x14ac:dyDescent="0.25">
      <c r="C84" t="s">
        <v>27</v>
      </c>
      <c r="D84">
        <v>3</v>
      </c>
      <c r="E84" t="s">
        <v>109</v>
      </c>
      <c r="F84" s="8" t="s">
        <v>212</v>
      </c>
    </row>
    <row r="85" spans="2:6" ht="30" x14ac:dyDescent="0.25">
      <c r="C85" t="s">
        <v>47</v>
      </c>
      <c r="D85">
        <v>2</v>
      </c>
      <c r="E85" t="s">
        <v>107</v>
      </c>
      <c r="F85" s="8" t="s">
        <v>237</v>
      </c>
    </row>
    <row r="86" spans="2:6" ht="30" x14ac:dyDescent="0.25">
      <c r="D86">
        <v>4</v>
      </c>
      <c r="E86" t="s">
        <v>34</v>
      </c>
      <c r="F86" s="8" t="s">
        <v>238</v>
      </c>
    </row>
    <row r="87" spans="2:6" ht="45" x14ac:dyDescent="0.25">
      <c r="D87">
        <v>12</v>
      </c>
      <c r="E87" t="s">
        <v>108</v>
      </c>
      <c r="F87" s="8" t="s">
        <v>218</v>
      </c>
    </row>
    <row r="88" spans="2:6" ht="30" x14ac:dyDescent="0.25">
      <c r="C88" t="s">
        <v>89</v>
      </c>
      <c r="D88">
        <v>16</v>
      </c>
      <c r="E88" t="s">
        <v>114</v>
      </c>
      <c r="F88" s="8" t="s">
        <v>239</v>
      </c>
    </row>
    <row r="89" spans="2:6" ht="30" x14ac:dyDescent="0.25">
      <c r="B89" t="s">
        <v>130</v>
      </c>
      <c r="C89" t="s">
        <v>131</v>
      </c>
      <c r="D89">
        <v>21</v>
      </c>
      <c r="E89" t="s">
        <v>25</v>
      </c>
      <c r="F89" s="8" t="s">
        <v>240</v>
      </c>
    </row>
    <row r="90" spans="2:6" ht="30" x14ac:dyDescent="0.25">
      <c r="C90" t="s">
        <v>97</v>
      </c>
      <c r="D90">
        <v>5</v>
      </c>
      <c r="E90" t="s">
        <v>115</v>
      </c>
      <c r="F90" s="8" t="s">
        <v>184</v>
      </c>
    </row>
    <row r="91" spans="2:6" ht="30" x14ac:dyDescent="0.25">
      <c r="C91" t="s">
        <v>92</v>
      </c>
      <c r="D91">
        <v>2</v>
      </c>
      <c r="E91" t="s">
        <v>105</v>
      </c>
      <c r="F91" s="8" t="s">
        <v>241</v>
      </c>
    </row>
    <row r="92" spans="2:6" ht="30" x14ac:dyDescent="0.25">
      <c r="C92" t="s">
        <v>33</v>
      </c>
      <c r="D92">
        <v>2</v>
      </c>
      <c r="E92" t="s">
        <v>34</v>
      </c>
      <c r="F92" s="8" t="s">
        <v>174</v>
      </c>
    </row>
    <row r="93" spans="2:6" ht="45" x14ac:dyDescent="0.25">
      <c r="D93">
        <v>11</v>
      </c>
      <c r="E93" t="s">
        <v>35</v>
      </c>
      <c r="F93" s="8" t="s">
        <v>175</v>
      </c>
    </row>
    <row r="94" spans="2:6" ht="60" x14ac:dyDescent="0.25">
      <c r="D94">
        <v>12</v>
      </c>
      <c r="E94" t="s">
        <v>40</v>
      </c>
      <c r="F94" s="8" t="s">
        <v>242</v>
      </c>
    </row>
    <row r="95" spans="2:6" ht="30" x14ac:dyDescent="0.25">
      <c r="C95" t="s">
        <v>20</v>
      </c>
      <c r="D95">
        <v>2</v>
      </c>
      <c r="E95" t="s">
        <v>48</v>
      </c>
      <c r="F95" s="8" t="s">
        <v>199</v>
      </c>
    </row>
    <row r="96" spans="2:6" ht="60" x14ac:dyDescent="0.25">
      <c r="C96" t="s">
        <v>39</v>
      </c>
      <c r="D96">
        <v>2</v>
      </c>
      <c r="E96" t="s">
        <v>116</v>
      </c>
      <c r="F96" s="8" t="s">
        <v>243</v>
      </c>
    </row>
    <row r="97" spans="3:6" ht="75" x14ac:dyDescent="0.25">
      <c r="D97">
        <v>12</v>
      </c>
      <c r="E97" t="s">
        <v>116</v>
      </c>
      <c r="F97" s="8" t="s">
        <v>244</v>
      </c>
    </row>
    <row r="98" spans="3:6" ht="60" x14ac:dyDescent="0.25">
      <c r="E98" t="s">
        <v>107</v>
      </c>
      <c r="F98" s="8" t="s">
        <v>245</v>
      </c>
    </row>
    <row r="99" spans="3:6" ht="45" x14ac:dyDescent="0.25">
      <c r="C99" t="s">
        <v>36</v>
      </c>
      <c r="D99">
        <v>2</v>
      </c>
      <c r="E99" t="s">
        <v>46</v>
      </c>
      <c r="F99" s="8" t="s">
        <v>246</v>
      </c>
    </row>
    <row r="100" spans="3:6" ht="60" x14ac:dyDescent="0.25">
      <c r="C100" t="s">
        <v>43</v>
      </c>
      <c r="D100">
        <v>3</v>
      </c>
      <c r="E100" t="s">
        <v>25</v>
      </c>
      <c r="F100" s="8" t="s">
        <v>247</v>
      </c>
    </row>
    <row r="101" spans="3:6" ht="45" x14ac:dyDescent="0.25">
      <c r="E101" t="s">
        <v>141</v>
      </c>
      <c r="F101" s="8" t="s">
        <v>248</v>
      </c>
    </row>
    <row r="102" spans="3:6" ht="45" x14ac:dyDescent="0.25">
      <c r="C102" t="s">
        <v>10</v>
      </c>
      <c r="D102">
        <v>5</v>
      </c>
      <c r="E102" t="s">
        <v>35</v>
      </c>
      <c r="F102" s="8" t="s">
        <v>249</v>
      </c>
    </row>
    <row r="103" spans="3:6" ht="90" x14ac:dyDescent="0.25">
      <c r="C103" t="s">
        <v>45</v>
      </c>
      <c r="D103">
        <v>1</v>
      </c>
      <c r="E103" t="s">
        <v>143</v>
      </c>
      <c r="F103" s="8" t="s">
        <v>250</v>
      </c>
    </row>
    <row r="104" spans="3:6" ht="45" x14ac:dyDescent="0.25">
      <c r="D104">
        <v>2</v>
      </c>
      <c r="E104" t="s">
        <v>40</v>
      </c>
      <c r="F104" s="8" t="s">
        <v>251</v>
      </c>
    </row>
    <row r="105" spans="3:6" ht="75" x14ac:dyDescent="0.25">
      <c r="C105" t="s">
        <v>88</v>
      </c>
      <c r="D105">
        <v>8</v>
      </c>
      <c r="E105" t="s">
        <v>140</v>
      </c>
      <c r="F105" s="8" t="s">
        <v>195</v>
      </c>
    </row>
    <row r="106" spans="3:6" ht="30" x14ac:dyDescent="0.25">
      <c r="D106">
        <v>13</v>
      </c>
      <c r="E106" t="s">
        <v>46</v>
      </c>
      <c r="F106" s="8" t="s">
        <v>252</v>
      </c>
    </row>
    <row r="107" spans="3:6" ht="30" x14ac:dyDescent="0.25">
      <c r="E107" t="s">
        <v>109</v>
      </c>
      <c r="F107" s="8" t="s">
        <v>253</v>
      </c>
    </row>
    <row r="108" spans="3:6" ht="30" x14ac:dyDescent="0.25">
      <c r="C108" t="s">
        <v>30</v>
      </c>
      <c r="D108">
        <v>4</v>
      </c>
      <c r="E108" t="s">
        <v>35</v>
      </c>
      <c r="F108" s="8" t="s">
        <v>254</v>
      </c>
    </row>
    <row r="109" spans="3:6" ht="45" x14ac:dyDescent="0.25">
      <c r="E109" t="s">
        <v>136</v>
      </c>
      <c r="F109" s="8" t="s">
        <v>255</v>
      </c>
    </row>
    <row r="110" spans="3:6" ht="45" x14ac:dyDescent="0.25">
      <c r="D110">
        <v>8</v>
      </c>
      <c r="E110" t="s">
        <v>107</v>
      </c>
      <c r="F110" s="8" t="s">
        <v>256</v>
      </c>
    </row>
    <row r="111" spans="3:6" ht="45" x14ac:dyDescent="0.25">
      <c r="E111" t="s">
        <v>109</v>
      </c>
      <c r="F111" s="8" t="s">
        <v>257</v>
      </c>
    </row>
    <row r="112" spans="3:6" ht="60" x14ac:dyDescent="0.25">
      <c r="E112" t="s">
        <v>108</v>
      </c>
      <c r="F112" s="8" t="s">
        <v>208</v>
      </c>
    </row>
    <row r="113" spans="3:6" ht="45" x14ac:dyDescent="0.25">
      <c r="D113">
        <v>9</v>
      </c>
      <c r="E113" t="s">
        <v>137</v>
      </c>
      <c r="F113" s="8" t="s">
        <v>258</v>
      </c>
    </row>
    <row r="114" spans="3:6" ht="45" x14ac:dyDescent="0.25">
      <c r="E114" t="s">
        <v>138</v>
      </c>
      <c r="F114" s="8" t="s">
        <v>259</v>
      </c>
    </row>
    <row r="115" spans="3:6" ht="45" x14ac:dyDescent="0.25">
      <c r="D115">
        <v>13</v>
      </c>
      <c r="E115" t="s">
        <v>121</v>
      </c>
      <c r="F115" s="8" t="s">
        <v>210</v>
      </c>
    </row>
    <row r="116" spans="3:6" ht="30" x14ac:dyDescent="0.25">
      <c r="D116">
        <v>22</v>
      </c>
      <c r="E116" t="s">
        <v>35</v>
      </c>
      <c r="F116" s="8" t="s">
        <v>260</v>
      </c>
    </row>
    <row r="117" spans="3:6" ht="45" x14ac:dyDescent="0.25">
      <c r="E117" t="s">
        <v>139</v>
      </c>
      <c r="F117" s="8" t="s">
        <v>261</v>
      </c>
    </row>
    <row r="118" spans="3:6" ht="30" x14ac:dyDescent="0.25">
      <c r="C118" t="s">
        <v>27</v>
      </c>
      <c r="D118">
        <v>1</v>
      </c>
      <c r="E118" t="s">
        <v>48</v>
      </c>
      <c r="F118" s="8" t="s">
        <v>262</v>
      </c>
    </row>
    <row r="119" spans="3:6" ht="45" x14ac:dyDescent="0.25">
      <c r="D119">
        <v>4</v>
      </c>
      <c r="E119" t="s">
        <v>28</v>
      </c>
      <c r="F119" s="8" t="s">
        <v>181</v>
      </c>
    </row>
    <row r="120" spans="3:6" ht="30" x14ac:dyDescent="0.25">
      <c r="D120">
        <v>5</v>
      </c>
      <c r="E120" t="s">
        <v>32</v>
      </c>
      <c r="F120" s="8" t="s">
        <v>263</v>
      </c>
    </row>
    <row r="121" spans="3:6" ht="45" x14ac:dyDescent="0.25">
      <c r="D121">
        <v>9</v>
      </c>
      <c r="E121" t="s">
        <v>114</v>
      </c>
      <c r="F121" s="8" t="s">
        <v>264</v>
      </c>
    </row>
    <row r="122" spans="3:6" ht="45" x14ac:dyDescent="0.25">
      <c r="E122" t="s">
        <v>111</v>
      </c>
      <c r="F122" s="8" t="s">
        <v>265</v>
      </c>
    </row>
    <row r="123" spans="3:6" ht="45" x14ac:dyDescent="0.25">
      <c r="C123" t="s">
        <v>47</v>
      </c>
      <c r="D123">
        <v>4</v>
      </c>
      <c r="E123" t="s">
        <v>25</v>
      </c>
      <c r="F123" s="8" t="s">
        <v>266</v>
      </c>
    </row>
    <row r="124" spans="3:6" ht="30" x14ac:dyDescent="0.25">
      <c r="E124" t="s">
        <v>35</v>
      </c>
      <c r="F124" s="8" t="s">
        <v>267</v>
      </c>
    </row>
    <row r="125" spans="3:6" ht="75" x14ac:dyDescent="0.25">
      <c r="D125">
        <v>8</v>
      </c>
      <c r="E125" t="s">
        <v>133</v>
      </c>
      <c r="F125" s="8" t="s">
        <v>268</v>
      </c>
    </row>
    <row r="126" spans="3:6" ht="45" x14ac:dyDescent="0.25">
      <c r="D126">
        <v>13</v>
      </c>
      <c r="E126" t="s">
        <v>134</v>
      </c>
      <c r="F126" s="8" t="s">
        <v>269</v>
      </c>
    </row>
    <row r="127" spans="3:6" ht="30" x14ac:dyDescent="0.25">
      <c r="E127" t="s">
        <v>135</v>
      </c>
      <c r="F127" s="8" t="s">
        <v>270</v>
      </c>
    </row>
    <row r="128" spans="3:6" ht="60" x14ac:dyDescent="0.25">
      <c r="E128" t="s">
        <v>150</v>
      </c>
      <c r="F128" s="8" t="s">
        <v>271</v>
      </c>
    </row>
    <row r="129" spans="2:6" ht="30" x14ac:dyDescent="0.25">
      <c r="E129" t="s">
        <v>119</v>
      </c>
      <c r="F129" s="8" t="s">
        <v>272</v>
      </c>
    </row>
    <row r="130" spans="2:6" ht="60" x14ac:dyDescent="0.25">
      <c r="D130">
        <v>15</v>
      </c>
      <c r="E130" t="s">
        <v>111</v>
      </c>
      <c r="F130" s="8" t="s">
        <v>273</v>
      </c>
    </row>
    <row r="131" spans="2:6" ht="45" x14ac:dyDescent="0.25">
      <c r="D131">
        <v>17</v>
      </c>
      <c r="E131" t="s">
        <v>28</v>
      </c>
      <c r="F131" s="8" t="s">
        <v>274</v>
      </c>
    </row>
    <row r="132" spans="2:6" x14ac:dyDescent="0.25">
      <c r="C132" t="s">
        <v>68</v>
      </c>
      <c r="D132">
        <v>109</v>
      </c>
      <c r="E132" t="s">
        <v>31</v>
      </c>
      <c r="F132" s="8" t="s">
        <v>275</v>
      </c>
    </row>
    <row r="133" spans="2:6" ht="45" x14ac:dyDescent="0.25">
      <c r="C133" t="s">
        <v>132</v>
      </c>
      <c r="D133">
        <v>3</v>
      </c>
      <c r="E133" t="s">
        <v>25</v>
      </c>
      <c r="F133" s="8" t="s">
        <v>276</v>
      </c>
    </row>
    <row r="134" spans="2:6" ht="30" x14ac:dyDescent="0.25">
      <c r="B134" t="s">
        <v>162</v>
      </c>
      <c r="C134" t="s">
        <v>88</v>
      </c>
      <c r="D134">
        <v>12</v>
      </c>
      <c r="E134" t="s">
        <v>139</v>
      </c>
      <c r="F134" s="8" t="s">
        <v>277</v>
      </c>
    </row>
    <row r="135" spans="2:6" ht="30" x14ac:dyDescent="0.25">
      <c r="D135">
        <v>14</v>
      </c>
      <c r="E135" t="s">
        <v>112</v>
      </c>
      <c r="F135" s="8" t="s">
        <v>234</v>
      </c>
    </row>
    <row r="136" spans="2:6" ht="30" x14ac:dyDescent="0.25">
      <c r="D136">
        <v>16</v>
      </c>
      <c r="E136" t="s">
        <v>34</v>
      </c>
      <c r="F136" s="8" t="s">
        <v>278</v>
      </c>
    </row>
    <row r="137" spans="2:6" ht="45" x14ac:dyDescent="0.25">
      <c r="B137" t="s">
        <v>155</v>
      </c>
      <c r="C137" t="s">
        <v>39</v>
      </c>
      <c r="D137">
        <v>12</v>
      </c>
      <c r="E137" t="s">
        <v>38</v>
      </c>
      <c r="F137" s="8" t="s">
        <v>177</v>
      </c>
    </row>
    <row r="138" spans="2:6" ht="60" x14ac:dyDescent="0.25">
      <c r="D138">
        <v>20</v>
      </c>
      <c r="E138" t="s">
        <v>35</v>
      </c>
      <c r="F138" s="8" t="s">
        <v>279</v>
      </c>
    </row>
    <row r="139" spans="2:6" ht="60" x14ac:dyDescent="0.25">
      <c r="C139" t="s">
        <v>43</v>
      </c>
      <c r="D139">
        <v>3</v>
      </c>
      <c r="E139" t="s">
        <v>44</v>
      </c>
      <c r="F139" s="8" t="s">
        <v>222</v>
      </c>
    </row>
    <row r="140" spans="2:6" x14ac:dyDescent="0.25">
      <c r="C140" t="s">
        <v>30</v>
      </c>
      <c r="D140">
        <v>8</v>
      </c>
      <c r="E140" t="s">
        <v>139</v>
      </c>
      <c r="F140" s="8" t="s">
        <v>280</v>
      </c>
    </row>
    <row r="141" spans="2:6" x14ac:dyDescent="0.25">
      <c r="D141">
        <v>10</v>
      </c>
      <c r="E141" t="s">
        <v>105</v>
      </c>
      <c r="F141" s="8" t="s">
        <v>281</v>
      </c>
    </row>
    <row r="142" spans="2:6" ht="30" x14ac:dyDescent="0.25">
      <c r="C142" t="s">
        <v>27</v>
      </c>
      <c r="D142">
        <v>3</v>
      </c>
      <c r="E142" t="s">
        <v>34</v>
      </c>
      <c r="F142" s="8" t="s">
        <v>282</v>
      </c>
    </row>
    <row r="143" spans="2:6" x14ac:dyDescent="0.25">
      <c r="D143">
        <v>5</v>
      </c>
      <c r="E143" t="s">
        <v>116</v>
      </c>
      <c r="F143" s="8" t="s">
        <v>283</v>
      </c>
    </row>
    <row r="144" spans="2:6" ht="30" x14ac:dyDescent="0.25">
      <c r="C144" t="s">
        <v>47</v>
      </c>
      <c r="D144">
        <v>8</v>
      </c>
      <c r="E144" t="s">
        <v>139</v>
      </c>
      <c r="F144" s="8" t="s">
        <v>284</v>
      </c>
    </row>
    <row r="145" spans="1:6" ht="45" x14ac:dyDescent="0.25">
      <c r="D145">
        <v>12</v>
      </c>
      <c r="E145" t="s">
        <v>108</v>
      </c>
      <c r="F145" s="8" t="s">
        <v>218</v>
      </c>
    </row>
    <row r="146" spans="1:6" ht="45" x14ac:dyDescent="0.25">
      <c r="C146" t="s">
        <v>132</v>
      </c>
      <c r="D146">
        <v>3</v>
      </c>
      <c r="E146" t="s">
        <v>46</v>
      </c>
      <c r="F146" s="8" t="s">
        <v>285</v>
      </c>
    </row>
    <row r="147" spans="1:6" x14ac:dyDescent="0.25">
      <c r="A147" t="s">
        <v>163</v>
      </c>
      <c r="B147" t="s">
        <v>163</v>
      </c>
      <c r="C147" t="s">
        <v>163</v>
      </c>
      <c r="D147" t="s">
        <v>163</v>
      </c>
      <c r="E147" t="s">
        <v>163</v>
      </c>
    </row>
    <row r="148" spans="1:6" x14ac:dyDescent="0.2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I860"/>
  <sheetViews>
    <sheetView tabSelected="1" topLeftCell="A371" zoomScale="80" zoomScaleNormal="80" workbookViewId="0">
      <selection activeCell="D373" sqref="D373"/>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104" style="6" customWidth="1"/>
    <col min="8" max="8" width="53.140625" style="4" customWidth="1"/>
    <col min="9" max="9" width="15.7109375" customWidth="1"/>
  </cols>
  <sheetData>
    <row r="1" spans="1:9" s="8" customFormat="1" ht="30" x14ac:dyDescent="0.25">
      <c r="A1" s="11" t="s">
        <v>0</v>
      </c>
      <c r="B1" s="11" t="s">
        <v>1</v>
      </c>
      <c r="C1" s="11" t="s">
        <v>2</v>
      </c>
      <c r="D1" s="11" t="s">
        <v>3</v>
      </c>
      <c r="E1" s="11" t="s">
        <v>4</v>
      </c>
      <c r="F1" s="12" t="s">
        <v>5</v>
      </c>
      <c r="G1" s="11" t="s">
        <v>6</v>
      </c>
      <c r="H1" s="11" t="s">
        <v>7</v>
      </c>
      <c r="I1" s="13" t="s">
        <v>318</v>
      </c>
    </row>
    <row r="2" spans="1:9" ht="45" x14ac:dyDescent="0.25">
      <c r="A2" s="2">
        <f>IF(BD_Versos[[#This Row],[Tema_Principal]]="","",ROW(BD_Versos[[#This Row],[Tema_Principal]])-1)</f>
        <v>1</v>
      </c>
      <c r="B2" s="3" t="s">
        <v>309</v>
      </c>
      <c r="C2" s="2" t="s">
        <v>310</v>
      </c>
      <c r="D2" s="4" t="s">
        <v>10</v>
      </c>
      <c r="E2" s="4">
        <v>20</v>
      </c>
      <c r="F2" s="5">
        <v>24</v>
      </c>
      <c r="G2" s="6" t="s">
        <v>346</v>
      </c>
      <c r="H2" s="4" t="s">
        <v>312</v>
      </c>
      <c r="I2" s="4">
        <v>1</v>
      </c>
    </row>
    <row r="3" spans="1:9" ht="75" x14ac:dyDescent="0.25">
      <c r="A3" s="2">
        <f>IF(BD_Versos[[#This Row],[Tema_Principal]]="","",ROW(BD_Versos[[#This Row],[Tema_Principal]])-1)</f>
        <v>2</v>
      </c>
      <c r="B3" s="3" t="s">
        <v>309</v>
      </c>
      <c r="C3" s="2" t="s">
        <v>310</v>
      </c>
      <c r="D3" s="4" t="s">
        <v>12</v>
      </c>
      <c r="E3" s="4">
        <v>9</v>
      </c>
      <c r="F3" s="5" t="s">
        <v>13</v>
      </c>
      <c r="G3" s="6" t="s">
        <v>347</v>
      </c>
      <c r="H3" s="4" t="s">
        <v>317</v>
      </c>
      <c r="I3" s="4">
        <v>1</v>
      </c>
    </row>
    <row r="4" spans="1:9" ht="30" x14ac:dyDescent="0.25">
      <c r="A4" s="2">
        <f>IF(BD_Versos[[#This Row],[Tema_Principal]]="","",ROW(BD_Versos[[#This Row],[Tema_Principal]])-1)</f>
        <v>3</v>
      </c>
      <c r="B4" s="3" t="s">
        <v>309</v>
      </c>
      <c r="C4" s="2" t="s">
        <v>310</v>
      </c>
      <c r="D4" s="4" t="s">
        <v>15</v>
      </c>
      <c r="E4" s="4">
        <v>2</v>
      </c>
      <c r="F4" s="5">
        <v>2</v>
      </c>
      <c r="G4" s="6" t="s">
        <v>348</v>
      </c>
      <c r="H4" s="4" t="s">
        <v>313</v>
      </c>
      <c r="I4" s="4">
        <v>1</v>
      </c>
    </row>
    <row r="5" spans="1:9" ht="30" x14ac:dyDescent="0.25">
      <c r="A5" s="2">
        <f>IF(BD_Versos[[#This Row],[Tema_Principal]]="","",ROW(BD_Versos[[#This Row],[Tema_Principal]])-1)</f>
        <v>4</v>
      </c>
      <c r="B5" s="3" t="s">
        <v>309</v>
      </c>
      <c r="C5" s="2" t="s">
        <v>310</v>
      </c>
      <c r="D5" s="4" t="s">
        <v>17</v>
      </c>
      <c r="E5" s="4">
        <v>2</v>
      </c>
      <c r="F5" s="5">
        <v>16</v>
      </c>
      <c r="G5" s="6" t="s">
        <v>349</v>
      </c>
      <c r="H5" s="4" t="s">
        <v>314</v>
      </c>
      <c r="I5" s="4">
        <v>1</v>
      </c>
    </row>
    <row r="6" spans="1:9" x14ac:dyDescent="0.25">
      <c r="A6" s="2">
        <f>IF(BD_Versos[[#This Row],[Tema_Principal]]="","",ROW(BD_Versos[[#This Row],[Tema_Principal]])-1)</f>
        <v>5</v>
      </c>
      <c r="B6" s="3" t="s">
        <v>309</v>
      </c>
      <c r="C6" s="2" t="s">
        <v>310</v>
      </c>
      <c r="D6" s="4" t="s">
        <v>17</v>
      </c>
      <c r="E6" s="4">
        <v>3</v>
      </c>
      <c r="F6" s="5">
        <v>14</v>
      </c>
      <c r="G6" s="6" t="s">
        <v>350</v>
      </c>
      <c r="H6" s="4" t="s">
        <v>317</v>
      </c>
      <c r="I6" s="4">
        <v>1</v>
      </c>
    </row>
    <row r="7" spans="1:9" x14ac:dyDescent="0.25">
      <c r="A7" s="2">
        <f>IF(BD_Versos[[#This Row],[Tema_Principal]]="","",ROW(BD_Versos[[#This Row],[Tema_Principal]])-1)</f>
        <v>6</v>
      </c>
      <c r="B7" s="3" t="s">
        <v>309</v>
      </c>
      <c r="C7" s="2" t="s">
        <v>310</v>
      </c>
      <c r="D7" s="4" t="s">
        <v>20</v>
      </c>
      <c r="E7" s="4">
        <v>2</v>
      </c>
      <c r="F7" s="5">
        <v>5</v>
      </c>
      <c r="G7" s="6" t="s">
        <v>351</v>
      </c>
      <c r="H7" s="4" t="s">
        <v>311</v>
      </c>
      <c r="I7" s="4">
        <v>1</v>
      </c>
    </row>
    <row r="8" spans="1:9" ht="45" x14ac:dyDescent="0.25">
      <c r="A8" s="2">
        <f>IF(BD_Versos[[#This Row],[Tema_Principal]]="","",ROW(BD_Versos[[#This Row],[Tema_Principal]])-1)</f>
        <v>7</v>
      </c>
      <c r="B8" s="3" t="s">
        <v>309</v>
      </c>
      <c r="C8" s="2" t="s">
        <v>310</v>
      </c>
      <c r="D8" s="4" t="s">
        <v>20</v>
      </c>
      <c r="E8" s="4">
        <v>4</v>
      </c>
      <c r="F8" s="5" t="s">
        <v>22</v>
      </c>
      <c r="G8" s="6" t="s">
        <v>352</v>
      </c>
      <c r="H8" s="4" t="s">
        <v>315</v>
      </c>
      <c r="I8" s="4">
        <v>1</v>
      </c>
    </row>
    <row r="9" spans="1:9" ht="79.5" customHeight="1" x14ac:dyDescent="0.25">
      <c r="A9" s="2">
        <f>IF(BD_Versos[[#This Row],[Tema_Principal]]="","",ROW(BD_Versos[[#This Row],[Tema_Principal]])-1)</f>
        <v>8</v>
      </c>
      <c r="B9" s="3" t="s">
        <v>309</v>
      </c>
      <c r="C9" s="2" t="s">
        <v>310</v>
      </c>
      <c r="D9" s="4" t="s">
        <v>24</v>
      </c>
      <c r="E9" s="4">
        <v>12</v>
      </c>
      <c r="F9" s="5" t="s">
        <v>25</v>
      </c>
      <c r="G9" s="6" t="s">
        <v>353</v>
      </c>
      <c r="H9" s="4" t="s">
        <v>316</v>
      </c>
      <c r="I9" s="4">
        <v>1</v>
      </c>
    </row>
    <row r="10" spans="1:9" ht="59.1" customHeight="1" x14ac:dyDescent="0.25">
      <c r="A10" s="2">
        <f>IF(BD_Versos[[#This Row],[Tema_Principal]]="","",ROW(BD_Versos[[#This Row],[Tema_Principal]])-1)</f>
        <v>9</v>
      </c>
      <c r="B10" s="3" t="s">
        <v>342</v>
      </c>
      <c r="C10" s="3" t="s">
        <v>26</v>
      </c>
      <c r="D10" s="4" t="s">
        <v>27</v>
      </c>
      <c r="E10" s="4">
        <v>4</v>
      </c>
      <c r="F10" s="5" t="s">
        <v>28</v>
      </c>
      <c r="G10" s="6" t="s">
        <v>354</v>
      </c>
      <c r="H10" s="4" t="s">
        <v>319</v>
      </c>
      <c r="I10" s="4">
        <v>1</v>
      </c>
    </row>
    <row r="11" spans="1:9" ht="66.599999999999994" customHeight="1" x14ac:dyDescent="0.25">
      <c r="A11" s="2">
        <f>IF(BD_Versos[[#This Row],[Tema_Principal]]="","",ROW(BD_Versos[[#This Row],[Tema_Principal]])-1)</f>
        <v>10</v>
      </c>
      <c r="B11" s="3" t="s">
        <v>342</v>
      </c>
      <c r="C11" s="3" t="s">
        <v>26</v>
      </c>
      <c r="D11" s="4" t="s">
        <v>27</v>
      </c>
      <c r="E11" s="4">
        <v>8</v>
      </c>
      <c r="F11" s="5" t="s">
        <v>29</v>
      </c>
      <c r="G11" s="6" t="s">
        <v>355</v>
      </c>
      <c r="H11" s="4" t="s">
        <v>320</v>
      </c>
      <c r="I11" s="4">
        <v>1</v>
      </c>
    </row>
    <row r="12" spans="1:9" ht="47.1" customHeight="1" x14ac:dyDescent="0.25">
      <c r="A12" s="2">
        <f>IF(BD_Versos[[#This Row],[Tema_Principal]]="","",ROW(BD_Versos[[#This Row],[Tema_Principal]])-1)</f>
        <v>11</v>
      </c>
      <c r="B12" s="3" t="s">
        <v>342</v>
      </c>
      <c r="C12" s="3" t="s">
        <v>26</v>
      </c>
      <c r="D12" s="4" t="s">
        <v>30</v>
      </c>
      <c r="E12" s="4">
        <v>4</v>
      </c>
      <c r="F12" s="5" t="s">
        <v>31</v>
      </c>
      <c r="G12" s="6" t="s">
        <v>356</v>
      </c>
      <c r="H12" s="4" t="s">
        <v>321</v>
      </c>
      <c r="I12" s="4">
        <v>1</v>
      </c>
    </row>
    <row r="13" spans="1:9" ht="72.599999999999994" customHeight="1" x14ac:dyDescent="0.25">
      <c r="A13" s="2">
        <f>IF(BD_Versos[[#This Row],[Tema_Principal]]="","",ROW(BD_Versos[[#This Row],[Tema_Principal]])-1)</f>
        <v>12</v>
      </c>
      <c r="B13" s="3" t="s">
        <v>342</v>
      </c>
      <c r="C13" s="3" t="s">
        <v>26</v>
      </c>
      <c r="D13" s="4" t="s">
        <v>12</v>
      </c>
      <c r="E13" s="4">
        <v>7</v>
      </c>
      <c r="F13" s="5" t="s">
        <v>32</v>
      </c>
      <c r="G13" s="6" t="s">
        <v>357</v>
      </c>
      <c r="H13" s="4" t="s">
        <v>322</v>
      </c>
      <c r="I13" s="4">
        <v>1</v>
      </c>
    </row>
    <row r="14" spans="1:9" ht="75.95" customHeight="1" x14ac:dyDescent="0.25">
      <c r="A14" s="2">
        <f>IF(BD_Versos[[#This Row],[Tema_Principal]]="","",ROW(BD_Versos[[#This Row],[Tema_Principal]])-1)</f>
        <v>13</v>
      </c>
      <c r="B14" s="3" t="s">
        <v>342</v>
      </c>
      <c r="C14" s="3" t="s">
        <v>26</v>
      </c>
      <c r="D14" s="4" t="s">
        <v>33</v>
      </c>
      <c r="E14" s="4">
        <v>2</v>
      </c>
      <c r="F14" s="5" t="s">
        <v>34</v>
      </c>
      <c r="G14" s="6" t="s">
        <v>358</v>
      </c>
      <c r="H14" s="4" t="s">
        <v>323</v>
      </c>
      <c r="I14" s="4">
        <v>1</v>
      </c>
    </row>
    <row r="15" spans="1:9" ht="79.5" customHeight="1" x14ac:dyDescent="0.25">
      <c r="A15" s="2">
        <f>IF(BD_Versos[[#This Row],[Tema_Principal]]="","",ROW(BD_Versos[[#This Row],[Tema_Principal]])-1)</f>
        <v>14</v>
      </c>
      <c r="B15" s="3" t="s">
        <v>342</v>
      </c>
      <c r="C15" s="3" t="s">
        <v>26</v>
      </c>
      <c r="D15" s="4" t="s">
        <v>33</v>
      </c>
      <c r="E15" s="4">
        <v>11</v>
      </c>
      <c r="F15" s="5" t="s">
        <v>35</v>
      </c>
      <c r="G15" s="6" t="s">
        <v>359</v>
      </c>
      <c r="H15" s="4" t="s">
        <v>324</v>
      </c>
      <c r="I15" s="4">
        <v>1</v>
      </c>
    </row>
    <row r="16" spans="1:9" ht="52.5" customHeight="1" x14ac:dyDescent="0.25">
      <c r="A16" s="2">
        <f>IF(BD_Versos[[#This Row],[Tema_Principal]]="","",ROW(BD_Versos[[#This Row],[Tema_Principal]])-1)</f>
        <v>15</v>
      </c>
      <c r="B16" s="3" t="s">
        <v>342</v>
      </c>
      <c r="C16" s="3" t="s">
        <v>325</v>
      </c>
      <c r="D16" s="4" t="s">
        <v>36</v>
      </c>
      <c r="E16" s="4">
        <v>6</v>
      </c>
      <c r="F16" s="5" t="s">
        <v>34</v>
      </c>
      <c r="G16" s="6" t="s">
        <v>360</v>
      </c>
      <c r="H16" s="4" t="s">
        <v>326</v>
      </c>
      <c r="I16" s="4">
        <v>1</v>
      </c>
    </row>
    <row r="17" spans="1:9" ht="30.6" customHeight="1" x14ac:dyDescent="0.25">
      <c r="A17" s="2">
        <f>IF(BD_Versos[[#This Row],[Tema_Principal]]="","",ROW(BD_Versos[[#This Row],[Tema_Principal]])-1)</f>
        <v>16</v>
      </c>
      <c r="B17" s="3" t="s">
        <v>342</v>
      </c>
      <c r="C17" s="3" t="s">
        <v>327</v>
      </c>
      <c r="D17" s="4" t="s">
        <v>37</v>
      </c>
      <c r="E17" s="4">
        <v>2</v>
      </c>
      <c r="F17" s="5" t="s">
        <v>38</v>
      </c>
      <c r="G17" s="6" t="s">
        <v>361</v>
      </c>
      <c r="H17" s="4" t="s">
        <v>328</v>
      </c>
      <c r="I17" s="4">
        <v>1</v>
      </c>
    </row>
    <row r="18" spans="1:9" ht="75.75" customHeight="1" x14ac:dyDescent="0.25">
      <c r="A18" s="2">
        <f>IF(BD_Versos[[#This Row],[Tema_Principal]]="","",ROW(BD_Versos[[#This Row],[Tema_Principal]])-1)</f>
        <v>17</v>
      </c>
      <c r="B18" s="3" t="s">
        <v>342</v>
      </c>
      <c r="C18" s="3" t="s">
        <v>327</v>
      </c>
      <c r="D18" s="4" t="s">
        <v>39</v>
      </c>
      <c r="E18" s="4">
        <v>12</v>
      </c>
      <c r="F18" s="5" t="s">
        <v>38</v>
      </c>
      <c r="G18" s="6" t="s">
        <v>362</v>
      </c>
      <c r="H18" s="4" t="s">
        <v>329</v>
      </c>
      <c r="I18" s="4">
        <v>1</v>
      </c>
    </row>
    <row r="19" spans="1:9" ht="42.6" customHeight="1" x14ac:dyDescent="0.25">
      <c r="A19" s="2">
        <f>IF(BD_Versos[[#This Row],[Tema_Principal]]="","",ROW(BD_Versos[[#This Row],[Tema_Principal]])-1)</f>
        <v>18</v>
      </c>
      <c r="B19" s="3" t="s">
        <v>342</v>
      </c>
      <c r="C19" s="2" t="s">
        <v>330</v>
      </c>
      <c r="D19" s="4" t="s">
        <v>39</v>
      </c>
      <c r="E19" s="4">
        <v>20</v>
      </c>
      <c r="F19" s="5" t="s">
        <v>40</v>
      </c>
      <c r="G19" s="6" t="s">
        <v>363</v>
      </c>
      <c r="H19" s="4" t="s">
        <v>331</v>
      </c>
      <c r="I19" s="4">
        <v>1</v>
      </c>
    </row>
    <row r="20" spans="1:9" ht="45" x14ac:dyDescent="0.25">
      <c r="A20" s="2">
        <f>IF(BD_Versos[[#This Row],[Tema_Principal]]="","",ROW(BD_Versos[[#This Row],[Tema_Principal]])-1)</f>
        <v>19</v>
      </c>
      <c r="B20" s="3" t="s">
        <v>342</v>
      </c>
      <c r="C20" s="3" t="s">
        <v>332</v>
      </c>
      <c r="D20" s="4" t="s">
        <v>43</v>
      </c>
      <c r="E20" s="4">
        <v>3</v>
      </c>
      <c r="F20" s="5" t="s">
        <v>44</v>
      </c>
      <c r="G20" s="6" t="s">
        <v>364</v>
      </c>
      <c r="H20" s="4" t="s">
        <v>333</v>
      </c>
      <c r="I20" s="4">
        <v>1</v>
      </c>
    </row>
    <row r="21" spans="1:9" ht="30" x14ac:dyDescent="0.25">
      <c r="A21" s="2">
        <f>IF(BD_Versos[[#This Row],[Tema_Principal]]="","",ROW(BD_Versos[[#This Row],[Tema_Principal]])-1)</f>
        <v>20</v>
      </c>
      <c r="B21" s="3" t="s">
        <v>342</v>
      </c>
      <c r="C21" s="3" t="s">
        <v>327</v>
      </c>
      <c r="D21" s="4" t="s">
        <v>45</v>
      </c>
      <c r="E21" s="4">
        <v>1</v>
      </c>
      <c r="F21" s="5" t="s">
        <v>31</v>
      </c>
      <c r="G21" s="6" t="s">
        <v>365</v>
      </c>
      <c r="H21" s="4" t="s">
        <v>340</v>
      </c>
      <c r="I21" s="4">
        <v>1</v>
      </c>
    </row>
    <row r="22" spans="1:9" ht="30" x14ac:dyDescent="0.25">
      <c r="A22" s="2">
        <f>IF(BD_Versos[[#This Row],[Tema_Principal]]="","",ROW(BD_Versos[[#This Row],[Tema_Principal]])-1)</f>
        <v>21</v>
      </c>
      <c r="B22" s="3" t="s">
        <v>342</v>
      </c>
      <c r="C22" s="3" t="s">
        <v>327</v>
      </c>
      <c r="D22" s="4" t="s">
        <v>45</v>
      </c>
      <c r="E22" s="4">
        <v>2</v>
      </c>
      <c r="F22" s="5" t="s">
        <v>46</v>
      </c>
      <c r="G22" s="6" t="s">
        <v>366</v>
      </c>
      <c r="H22" s="4" t="s">
        <v>334</v>
      </c>
      <c r="I22" s="4">
        <v>1</v>
      </c>
    </row>
    <row r="23" spans="1:9" ht="30" x14ac:dyDescent="0.25">
      <c r="A23" s="2">
        <f>IF(BD_Versos[[#This Row],[Tema_Principal]]="","",ROW(BD_Versos[[#This Row],[Tema_Principal]])-1)</f>
        <v>22</v>
      </c>
      <c r="B23" s="3" t="s">
        <v>342</v>
      </c>
      <c r="C23" s="3" t="s">
        <v>336</v>
      </c>
      <c r="D23" s="4" t="s">
        <v>47</v>
      </c>
      <c r="E23" s="4">
        <v>12</v>
      </c>
      <c r="F23" s="5" t="s">
        <v>48</v>
      </c>
      <c r="G23" s="6" t="s">
        <v>367</v>
      </c>
      <c r="H23" s="4" t="s">
        <v>335</v>
      </c>
      <c r="I23" s="4">
        <v>1</v>
      </c>
    </row>
    <row r="24" spans="1:9" ht="30" x14ac:dyDescent="0.25">
      <c r="A24" s="2">
        <f>IF(BD_Versos[[#This Row],[Tema_Principal]]="","",ROW(BD_Versos[[#This Row],[Tema_Principal]])-1)</f>
        <v>23</v>
      </c>
      <c r="B24" s="3" t="s">
        <v>342</v>
      </c>
      <c r="C24" s="3" t="s">
        <v>336</v>
      </c>
      <c r="D24" s="4" t="s">
        <v>30</v>
      </c>
      <c r="E24" s="4">
        <v>11</v>
      </c>
      <c r="F24" s="5" t="s">
        <v>105</v>
      </c>
      <c r="G24" s="6" t="s">
        <v>368</v>
      </c>
      <c r="H24" s="4" t="s">
        <v>335</v>
      </c>
      <c r="I24" s="4">
        <v>1</v>
      </c>
    </row>
    <row r="25" spans="1:9" x14ac:dyDescent="0.25">
      <c r="A25" s="2">
        <f>IF(BD_Versos[[#This Row],[Tema_Principal]]="","",ROW(BD_Versos[[#This Row],[Tema_Principal]])-1)</f>
        <v>24</v>
      </c>
      <c r="B25" s="3" t="s">
        <v>342</v>
      </c>
      <c r="C25" s="2" t="s">
        <v>26</v>
      </c>
      <c r="D25" s="4" t="s">
        <v>33</v>
      </c>
      <c r="E25" s="4">
        <v>11</v>
      </c>
      <c r="F25" s="5" t="s">
        <v>44</v>
      </c>
      <c r="G25" s="6" t="s">
        <v>369</v>
      </c>
      <c r="H25" s="4" t="s">
        <v>337</v>
      </c>
      <c r="I25" s="4">
        <v>1</v>
      </c>
    </row>
    <row r="26" spans="1:9" x14ac:dyDescent="0.25">
      <c r="A26" s="2">
        <f>IF(BD_Versos[[#This Row],[Tema_Principal]]="","",ROW(BD_Versos[[#This Row],[Tema_Principal]])-1)</f>
        <v>25</v>
      </c>
      <c r="B26" s="3" t="s">
        <v>342</v>
      </c>
      <c r="C26" s="2" t="s">
        <v>26</v>
      </c>
      <c r="D26" s="4" t="s">
        <v>93</v>
      </c>
      <c r="E26" s="4">
        <v>5</v>
      </c>
      <c r="F26" s="5" t="s">
        <v>28</v>
      </c>
      <c r="G26" s="6" t="s">
        <v>370</v>
      </c>
      <c r="H26" s="4" t="s">
        <v>338</v>
      </c>
      <c r="I26" s="4">
        <v>1</v>
      </c>
    </row>
    <row r="27" spans="1:9" ht="30" x14ac:dyDescent="0.25">
      <c r="A27" s="2">
        <f>IF(BD_Versos[[#This Row],[Tema_Principal]]="","",ROW(BD_Versos[[#This Row],[Tema_Principal]])-1)</f>
        <v>26</v>
      </c>
      <c r="B27" s="3" t="s">
        <v>342</v>
      </c>
      <c r="D27" s="4" t="s">
        <v>102</v>
      </c>
      <c r="E27" s="4">
        <v>1</v>
      </c>
      <c r="F27" s="5" t="s">
        <v>38</v>
      </c>
      <c r="G27" s="6" t="s">
        <v>371</v>
      </c>
      <c r="I27" s="4">
        <v>1</v>
      </c>
    </row>
    <row r="28" spans="1:9" ht="30" x14ac:dyDescent="0.25">
      <c r="A28" s="2">
        <f>IF(BD_Versos[[#This Row],[Tema_Principal]]="","",ROW(BD_Versos[[#This Row],[Tema_Principal]])-1)</f>
        <v>27</v>
      </c>
      <c r="B28" s="3" t="s">
        <v>342</v>
      </c>
      <c r="C28" s="3" t="s">
        <v>327</v>
      </c>
      <c r="D28" s="4" t="s">
        <v>39</v>
      </c>
      <c r="E28" s="4">
        <v>9</v>
      </c>
      <c r="F28" s="5" t="s">
        <v>34</v>
      </c>
      <c r="G28" s="6" t="s">
        <v>372</v>
      </c>
      <c r="H28" s="4" t="s">
        <v>339</v>
      </c>
      <c r="I28" s="4">
        <v>1</v>
      </c>
    </row>
    <row r="29" spans="1:9" ht="129.6" customHeight="1" x14ac:dyDescent="0.25">
      <c r="A29" s="2">
        <f>IF(BD_Versos[[#This Row],[Tema_Principal]]="","",ROW(BD_Versos[[#This Row],[Tema_Principal]])-1)</f>
        <v>28</v>
      </c>
      <c r="B29" s="3" t="s">
        <v>342</v>
      </c>
      <c r="C29" s="2" t="s">
        <v>330</v>
      </c>
      <c r="D29" s="4" t="s">
        <v>39</v>
      </c>
      <c r="E29" s="4">
        <v>20</v>
      </c>
      <c r="F29" s="5" t="s">
        <v>46</v>
      </c>
      <c r="G29" s="6" t="s">
        <v>373</v>
      </c>
      <c r="H29" s="4" t="s">
        <v>341</v>
      </c>
      <c r="I29" s="4">
        <v>1</v>
      </c>
    </row>
    <row r="30" spans="1:9" ht="30" x14ac:dyDescent="0.25">
      <c r="A30" s="2">
        <f>IF(BD_Versos[[#This Row],[Tema_Principal]]="","",ROW(BD_Versos[[#This Row],[Tema_Principal]])-1)</f>
        <v>29</v>
      </c>
      <c r="B30" s="3" t="s">
        <v>342</v>
      </c>
      <c r="C30" s="2" t="s">
        <v>327</v>
      </c>
      <c r="D30" s="4" t="s">
        <v>43</v>
      </c>
      <c r="E30" s="4">
        <v>3</v>
      </c>
      <c r="F30" s="5" t="s">
        <v>28</v>
      </c>
      <c r="G30" s="6" t="s">
        <v>374</v>
      </c>
      <c r="H30" s="4" t="s">
        <v>343</v>
      </c>
      <c r="I30" s="4">
        <v>0</v>
      </c>
    </row>
    <row r="31" spans="1:9" ht="46.15" customHeight="1" x14ac:dyDescent="0.25">
      <c r="A31" s="2">
        <f>IF(BD_Versos[[#This Row],[Tema_Principal]]="","",ROW(BD_Versos[[#This Row],[Tema_Principal]])-1)</f>
        <v>30</v>
      </c>
      <c r="B31" s="3" t="s">
        <v>41</v>
      </c>
      <c r="C31" s="2" t="s">
        <v>106</v>
      </c>
      <c r="D31" s="4" t="s">
        <v>47</v>
      </c>
      <c r="E31" s="4">
        <v>4</v>
      </c>
      <c r="F31" s="5" t="s">
        <v>34</v>
      </c>
      <c r="G31" s="6" t="s">
        <v>375</v>
      </c>
      <c r="I31" s="4">
        <v>0</v>
      </c>
    </row>
    <row r="32" spans="1:9" ht="30" x14ac:dyDescent="0.25">
      <c r="A32" s="2">
        <f>IF(BD_Versos[[#This Row],[Tema_Principal]]="","",ROW(BD_Versos[[#This Row],[Tema_Principal]])-1)</f>
        <v>31</v>
      </c>
      <c r="B32" s="3" t="s">
        <v>41</v>
      </c>
      <c r="C32" s="2" t="s">
        <v>106</v>
      </c>
      <c r="D32" s="4" t="s">
        <v>47</v>
      </c>
      <c r="E32" s="4">
        <v>12</v>
      </c>
      <c r="F32" s="5" t="s">
        <v>108</v>
      </c>
      <c r="G32" s="6" t="s">
        <v>376</v>
      </c>
      <c r="I32" s="4">
        <v>0</v>
      </c>
    </row>
    <row r="33" spans="1:9" ht="30" x14ac:dyDescent="0.25">
      <c r="A33" s="2">
        <f>IF(BD_Versos[[#This Row],[Tema_Principal]]="","",ROW(BD_Versos[[#This Row],[Tema_Principal]])-1)</f>
        <v>32</v>
      </c>
      <c r="B33" s="3" t="s">
        <v>41</v>
      </c>
      <c r="C33" s="2" t="s">
        <v>106</v>
      </c>
      <c r="D33" s="4" t="s">
        <v>27</v>
      </c>
      <c r="E33" s="4">
        <v>3</v>
      </c>
      <c r="F33" s="5" t="s">
        <v>109</v>
      </c>
      <c r="G33" s="6" t="s">
        <v>377</v>
      </c>
      <c r="I33" s="4">
        <v>0</v>
      </c>
    </row>
    <row r="34" spans="1:9" x14ac:dyDescent="0.25">
      <c r="A34" s="2">
        <f>IF(BD_Versos[[#This Row],[Tema_Principal]]="","",ROW(BD_Versos[[#This Row],[Tema_Principal]])-1)</f>
        <v>33</v>
      </c>
      <c r="B34" s="3" t="s">
        <v>41</v>
      </c>
      <c r="C34" s="2" t="s">
        <v>106</v>
      </c>
      <c r="D34" s="4" t="s">
        <v>30</v>
      </c>
      <c r="E34" s="4">
        <v>4</v>
      </c>
      <c r="F34" s="5" t="s">
        <v>110</v>
      </c>
      <c r="G34" s="6" t="s">
        <v>378</v>
      </c>
      <c r="I34" s="4">
        <v>0</v>
      </c>
    </row>
    <row r="35" spans="1:9" ht="30" x14ac:dyDescent="0.25">
      <c r="A35" s="2">
        <f>IF(BD_Versos[[#This Row],[Tema_Principal]]="","",ROW(BD_Versos[[#This Row],[Tema_Principal]])-1)</f>
        <v>34</v>
      </c>
      <c r="B35" s="3" t="s">
        <v>41</v>
      </c>
      <c r="C35" s="2" t="s">
        <v>106</v>
      </c>
      <c r="D35" s="4" t="s">
        <v>30</v>
      </c>
      <c r="E35" s="4">
        <v>11</v>
      </c>
      <c r="F35" s="5" t="s">
        <v>111</v>
      </c>
      <c r="G35" s="6" t="s">
        <v>379</v>
      </c>
      <c r="I35" s="4">
        <v>0</v>
      </c>
    </row>
    <row r="36" spans="1:9" ht="30" x14ac:dyDescent="0.25">
      <c r="A36" s="2">
        <f>IF(BD_Versos[[#This Row],[Tema_Principal]]="","",ROW(BD_Versos[[#This Row],[Tema_Principal]])-1)</f>
        <v>35</v>
      </c>
      <c r="B36" s="3" t="s">
        <v>41</v>
      </c>
      <c r="C36" s="2" t="s">
        <v>106</v>
      </c>
      <c r="D36" s="4" t="s">
        <v>88</v>
      </c>
      <c r="E36" s="4">
        <v>12</v>
      </c>
      <c r="F36" s="5" t="s">
        <v>113</v>
      </c>
      <c r="G36" s="6" t="s">
        <v>380</v>
      </c>
      <c r="I36" s="4">
        <v>0</v>
      </c>
    </row>
    <row r="37" spans="1:9" ht="57" customHeight="1" x14ac:dyDescent="0.25">
      <c r="A37" s="2">
        <f>IF(BD_Versos[[#This Row],[Tema_Principal]]="","",ROW(BD_Versos[[#This Row],[Tema_Principal]])-1)</f>
        <v>36</v>
      </c>
      <c r="B37" s="3" t="s">
        <v>41</v>
      </c>
      <c r="C37" s="2" t="s">
        <v>106</v>
      </c>
      <c r="D37" s="4" t="s">
        <v>88</v>
      </c>
      <c r="E37" s="4">
        <v>14</v>
      </c>
      <c r="F37" s="5" t="s">
        <v>112</v>
      </c>
      <c r="G37" s="6" t="s">
        <v>381</v>
      </c>
      <c r="I37" s="4">
        <v>0</v>
      </c>
    </row>
    <row r="38" spans="1:9" ht="30" x14ac:dyDescent="0.25">
      <c r="A38" s="2">
        <f>IF(BD_Versos[[#This Row],[Tema_Principal]]="","",ROW(BD_Versos[[#This Row],[Tema_Principal]])-1)</f>
        <v>37</v>
      </c>
      <c r="B38" s="3" t="s">
        <v>41</v>
      </c>
      <c r="C38" s="2" t="s">
        <v>106</v>
      </c>
      <c r="D38" s="4" t="s">
        <v>89</v>
      </c>
      <c r="E38" s="4">
        <v>16</v>
      </c>
      <c r="F38" s="5" t="s">
        <v>114</v>
      </c>
      <c r="G38" s="6" t="s">
        <v>382</v>
      </c>
      <c r="I38" s="4">
        <v>0</v>
      </c>
    </row>
    <row r="39" spans="1:9" x14ac:dyDescent="0.25">
      <c r="A39" s="2">
        <f>IF(BD_Versos[[#This Row],[Tema_Principal]]="","",ROW(BD_Versos[[#This Row],[Tema_Principal]])-1)</f>
        <v>38</v>
      </c>
      <c r="B39" s="3" t="s">
        <v>41</v>
      </c>
      <c r="C39" s="2" t="s">
        <v>106</v>
      </c>
      <c r="D39" s="4" t="s">
        <v>12</v>
      </c>
      <c r="E39" s="4">
        <v>15</v>
      </c>
      <c r="F39" s="5" t="s">
        <v>48</v>
      </c>
      <c r="G39" s="6" t="s">
        <v>383</v>
      </c>
      <c r="I39" s="4">
        <v>0</v>
      </c>
    </row>
    <row r="40" spans="1:9" ht="30" x14ac:dyDescent="0.25">
      <c r="A40" s="2">
        <f>IF(BD_Versos[[#This Row],[Tema_Principal]]="","",ROW(BD_Versos[[#This Row],[Tema_Principal]])-1)</f>
        <v>39</v>
      </c>
      <c r="B40" s="3" t="s">
        <v>41</v>
      </c>
      <c r="C40" s="2" t="s">
        <v>106</v>
      </c>
      <c r="D40" s="4" t="s">
        <v>37</v>
      </c>
      <c r="E40" s="4">
        <v>2</v>
      </c>
      <c r="F40" s="5" t="s">
        <v>115</v>
      </c>
      <c r="G40" s="6" t="s">
        <v>384</v>
      </c>
      <c r="I40" s="4">
        <v>0</v>
      </c>
    </row>
    <row r="41" spans="1:9" ht="45" x14ac:dyDescent="0.25">
      <c r="A41" s="2">
        <f>IF(BD_Versos[[#This Row],[Tema_Principal]]="","",ROW(BD_Versos[[#This Row],[Tema_Principal]])-1)</f>
        <v>40</v>
      </c>
      <c r="B41" s="3" t="s">
        <v>41</v>
      </c>
      <c r="C41" s="2" t="s">
        <v>106</v>
      </c>
      <c r="D41" s="4" t="s">
        <v>24</v>
      </c>
      <c r="E41" s="4">
        <v>2</v>
      </c>
      <c r="F41" s="5" t="s">
        <v>44</v>
      </c>
      <c r="G41" s="6" t="s">
        <v>385</v>
      </c>
      <c r="I41" s="4">
        <v>0</v>
      </c>
    </row>
    <row r="42" spans="1:9" ht="30" x14ac:dyDescent="0.25">
      <c r="A42" s="2">
        <f>IF(BD_Versos[[#This Row],[Tema_Principal]]="","",ROW(BD_Versos[[#This Row],[Tema_Principal]])-1)</f>
        <v>41</v>
      </c>
      <c r="B42" s="3" t="s">
        <v>41</v>
      </c>
      <c r="C42" s="2" t="s">
        <v>106</v>
      </c>
      <c r="D42" s="4" t="s">
        <v>99</v>
      </c>
      <c r="E42" s="4">
        <v>3</v>
      </c>
      <c r="F42" s="5" t="s">
        <v>115</v>
      </c>
      <c r="G42" s="6" t="s">
        <v>386</v>
      </c>
      <c r="I42" s="4">
        <v>0</v>
      </c>
    </row>
    <row r="43" spans="1:9" ht="30" x14ac:dyDescent="0.25">
      <c r="A43" s="2">
        <f>IF(BD_Versos[[#This Row],[Tema_Principal]]="","",ROW(BD_Versos[[#This Row],[Tema_Principal]])-1)</f>
        <v>42</v>
      </c>
      <c r="B43" s="3" t="s">
        <v>41</v>
      </c>
      <c r="C43" s="2" t="s">
        <v>106</v>
      </c>
      <c r="D43" s="4" t="s">
        <v>39</v>
      </c>
      <c r="E43" s="4">
        <v>20</v>
      </c>
      <c r="F43" s="5" t="s">
        <v>116</v>
      </c>
      <c r="G43" s="6" t="s">
        <v>387</v>
      </c>
      <c r="I43" s="4">
        <v>0</v>
      </c>
    </row>
    <row r="44" spans="1:9" ht="30" x14ac:dyDescent="0.25">
      <c r="A44" s="2">
        <f>IF(BD_Versos[[#This Row],[Tema_Principal]]="","",ROW(BD_Versos[[#This Row],[Tema_Principal]])-1)</f>
        <v>43</v>
      </c>
      <c r="B44" s="3" t="s">
        <v>41</v>
      </c>
      <c r="C44" s="2" t="s">
        <v>117</v>
      </c>
      <c r="D44" s="4" t="s">
        <v>45</v>
      </c>
      <c r="E44" s="4">
        <v>1</v>
      </c>
      <c r="F44" s="5" t="s">
        <v>107</v>
      </c>
      <c r="G44" s="6" t="s">
        <v>388</v>
      </c>
      <c r="H44" s="4" t="s">
        <v>124</v>
      </c>
      <c r="I44" s="4">
        <v>0</v>
      </c>
    </row>
    <row r="45" spans="1:9" ht="30" x14ac:dyDescent="0.25">
      <c r="A45" s="2">
        <f>IF(BD_Versos[[#This Row],[Tema_Principal]]="","",ROW(BD_Versos[[#This Row],[Tema_Principal]])-1)</f>
        <v>44</v>
      </c>
      <c r="B45" s="3" t="s">
        <v>41</v>
      </c>
      <c r="C45" s="2" t="s">
        <v>117</v>
      </c>
      <c r="D45" s="4" t="s">
        <v>47</v>
      </c>
      <c r="E45" s="4">
        <v>8</v>
      </c>
      <c r="F45" s="5" t="s">
        <v>118</v>
      </c>
      <c r="G45" s="6" t="s">
        <v>389</v>
      </c>
      <c r="I45" s="4">
        <v>0</v>
      </c>
    </row>
    <row r="46" spans="1:9" ht="30" x14ac:dyDescent="0.25">
      <c r="A46" s="2">
        <f>IF(BD_Versos[[#This Row],[Tema_Principal]]="","",ROW(BD_Versos[[#This Row],[Tema_Principal]])-1)</f>
        <v>45</v>
      </c>
      <c r="B46" s="3" t="s">
        <v>41</v>
      </c>
      <c r="C46" s="2" t="s">
        <v>117</v>
      </c>
      <c r="D46" s="4" t="s">
        <v>47</v>
      </c>
      <c r="E46" s="4">
        <v>12</v>
      </c>
      <c r="F46" s="5" t="s">
        <v>108</v>
      </c>
      <c r="G46" s="6" t="s">
        <v>376</v>
      </c>
      <c r="I46" s="4">
        <v>0</v>
      </c>
    </row>
    <row r="47" spans="1:9" ht="30" x14ac:dyDescent="0.25">
      <c r="A47" s="2">
        <f>IF(BD_Versos[[#This Row],[Tema_Principal]]="","",ROW(BD_Versos[[#This Row],[Tema_Principal]])-1)</f>
        <v>46</v>
      </c>
      <c r="B47" s="3" t="s">
        <v>41</v>
      </c>
      <c r="C47" s="2" t="s">
        <v>117</v>
      </c>
      <c r="D47" s="4" t="s">
        <v>27</v>
      </c>
      <c r="E47" s="4">
        <v>3</v>
      </c>
      <c r="F47" s="5" t="s">
        <v>109</v>
      </c>
      <c r="G47" s="6" t="s">
        <v>377</v>
      </c>
      <c r="I47" s="4">
        <v>0</v>
      </c>
    </row>
    <row r="48" spans="1:9" ht="30" x14ac:dyDescent="0.25">
      <c r="A48" s="2">
        <f>IF(BD_Versos[[#This Row],[Tema_Principal]]="","",ROW(BD_Versos[[#This Row],[Tema_Principal]])-1)</f>
        <v>47</v>
      </c>
      <c r="B48" s="3" t="s">
        <v>41</v>
      </c>
      <c r="C48" s="2" t="s">
        <v>117</v>
      </c>
      <c r="D48" s="4" t="s">
        <v>27</v>
      </c>
      <c r="E48" s="4">
        <v>5</v>
      </c>
      <c r="F48" s="5" t="s">
        <v>119</v>
      </c>
      <c r="G48" s="6" t="s">
        <v>390</v>
      </c>
      <c r="I48" s="4">
        <v>0</v>
      </c>
    </row>
    <row r="49" spans="1:9" ht="30" x14ac:dyDescent="0.25">
      <c r="A49" s="2">
        <f>IF(BD_Versos[[#This Row],[Tema_Principal]]="","",ROW(BD_Versos[[#This Row],[Tema_Principal]])-1)</f>
        <v>48</v>
      </c>
      <c r="B49" s="3" t="s">
        <v>41</v>
      </c>
      <c r="C49" s="2" t="s">
        <v>117</v>
      </c>
      <c r="D49" s="4" t="s">
        <v>27</v>
      </c>
      <c r="E49" s="4">
        <v>5</v>
      </c>
      <c r="F49" s="5" t="s">
        <v>110</v>
      </c>
      <c r="G49" s="6" t="s">
        <v>391</v>
      </c>
      <c r="I49" s="4">
        <v>0</v>
      </c>
    </row>
    <row r="50" spans="1:9" ht="30" x14ac:dyDescent="0.25">
      <c r="A50" s="2">
        <f>IF(BD_Versos[[#This Row],[Tema_Principal]]="","",ROW(BD_Versos[[#This Row],[Tema_Principal]])-1)</f>
        <v>49</v>
      </c>
      <c r="B50" s="3" t="s">
        <v>41</v>
      </c>
      <c r="C50" s="2" t="s">
        <v>117</v>
      </c>
      <c r="D50" s="4" t="s">
        <v>27</v>
      </c>
      <c r="E50" s="4">
        <v>9</v>
      </c>
      <c r="F50" s="5" t="s">
        <v>105</v>
      </c>
      <c r="G50" s="6" t="s">
        <v>392</v>
      </c>
      <c r="I50" s="4">
        <v>0</v>
      </c>
    </row>
    <row r="51" spans="1:9" ht="30" x14ac:dyDescent="0.25">
      <c r="A51" s="2">
        <f>IF(BD_Versos[[#This Row],[Tema_Principal]]="","",ROW(BD_Versos[[#This Row],[Tema_Principal]])-1)</f>
        <v>50</v>
      </c>
      <c r="B51" s="3" t="s">
        <v>41</v>
      </c>
      <c r="C51" s="2" t="s">
        <v>117</v>
      </c>
      <c r="D51" s="4" t="s">
        <v>27</v>
      </c>
      <c r="E51" s="4">
        <v>9</v>
      </c>
      <c r="F51" s="5" t="s">
        <v>48</v>
      </c>
      <c r="G51" s="6" t="s">
        <v>393</v>
      </c>
      <c r="I51" s="4">
        <v>0</v>
      </c>
    </row>
    <row r="52" spans="1:9" ht="30" x14ac:dyDescent="0.25">
      <c r="A52" s="2">
        <f>IF(BD_Versos[[#This Row],[Tema_Principal]]="","",ROW(BD_Versos[[#This Row],[Tema_Principal]])-1)</f>
        <v>51</v>
      </c>
      <c r="B52" s="3" t="s">
        <v>41</v>
      </c>
      <c r="C52" s="2" t="s">
        <v>117</v>
      </c>
      <c r="D52" s="4" t="s">
        <v>30</v>
      </c>
      <c r="E52" s="4">
        <v>4</v>
      </c>
      <c r="F52" s="5" t="s">
        <v>31</v>
      </c>
      <c r="G52" s="6" t="s">
        <v>356</v>
      </c>
      <c r="H52" s="4" t="s">
        <v>125</v>
      </c>
      <c r="I52" s="4">
        <v>0</v>
      </c>
    </row>
    <row r="53" spans="1:9" ht="45" x14ac:dyDescent="0.25">
      <c r="A53" s="2">
        <f>IF(BD_Versos[[#This Row],[Tema_Principal]]="","",ROW(BD_Versos[[#This Row],[Tema_Principal]])-1)</f>
        <v>52</v>
      </c>
      <c r="B53" s="3" t="s">
        <v>41</v>
      </c>
      <c r="C53" s="2" t="s">
        <v>117</v>
      </c>
      <c r="D53" s="4" t="s">
        <v>30</v>
      </c>
      <c r="E53" s="4">
        <v>8</v>
      </c>
      <c r="F53" s="5" t="s">
        <v>108</v>
      </c>
      <c r="G53" s="6" t="s">
        <v>394</v>
      </c>
      <c r="I53" s="4">
        <v>0</v>
      </c>
    </row>
    <row r="54" spans="1:9" x14ac:dyDescent="0.25">
      <c r="A54" s="2">
        <f>IF(BD_Versos[[#This Row],[Tema_Principal]]="","",ROW(BD_Versos[[#This Row],[Tema_Principal]])-1)</f>
        <v>53</v>
      </c>
      <c r="B54" s="3" t="s">
        <v>41</v>
      </c>
      <c r="C54" s="2" t="s">
        <v>117</v>
      </c>
      <c r="D54" s="4" t="s">
        <v>30</v>
      </c>
      <c r="E54" s="4">
        <v>11</v>
      </c>
      <c r="F54" s="5" t="s">
        <v>120</v>
      </c>
      <c r="G54" s="6" t="s">
        <v>395</v>
      </c>
      <c r="I54" s="4">
        <v>0</v>
      </c>
    </row>
    <row r="55" spans="1:9" ht="30" x14ac:dyDescent="0.25">
      <c r="A55" s="2">
        <f>IF(BD_Versos[[#This Row],[Tema_Principal]]="","",ROW(BD_Versos[[#This Row],[Tema_Principal]])-1)</f>
        <v>54</v>
      </c>
      <c r="B55" s="3" t="s">
        <v>41</v>
      </c>
      <c r="C55" s="2" t="s">
        <v>117</v>
      </c>
      <c r="D55" s="4" t="s">
        <v>30</v>
      </c>
      <c r="E55" s="4">
        <v>13</v>
      </c>
      <c r="F55" s="5" t="s">
        <v>121</v>
      </c>
      <c r="G55" s="6" t="s">
        <v>396</v>
      </c>
      <c r="I55" s="4">
        <v>0</v>
      </c>
    </row>
    <row r="56" spans="1:9" ht="67.150000000000006" customHeight="1" x14ac:dyDescent="0.25">
      <c r="A56" s="2">
        <f>IF(BD_Versos[[#This Row],[Tema_Principal]]="","",ROW(BD_Versos[[#This Row],[Tema_Principal]])-1)</f>
        <v>55</v>
      </c>
      <c r="B56" s="3" t="s">
        <v>41</v>
      </c>
      <c r="C56" s="2" t="s">
        <v>117</v>
      </c>
      <c r="D56" s="4" t="s">
        <v>30</v>
      </c>
      <c r="E56" s="4">
        <v>22</v>
      </c>
      <c r="F56" s="5" t="s">
        <v>122</v>
      </c>
      <c r="G56" s="6" t="s">
        <v>397</v>
      </c>
      <c r="I56" s="4">
        <v>0</v>
      </c>
    </row>
    <row r="57" spans="1:9" ht="45" x14ac:dyDescent="0.25">
      <c r="A57" s="2">
        <f>IF(BD_Versos[[#This Row],[Tema_Principal]]="","",ROW(BD_Versos[[#This Row],[Tema_Principal]])-1)</f>
        <v>56</v>
      </c>
      <c r="B57" s="3" t="s">
        <v>41</v>
      </c>
      <c r="C57" s="2" t="s">
        <v>117</v>
      </c>
      <c r="D57" s="4" t="s">
        <v>10</v>
      </c>
      <c r="E57" s="4">
        <v>26</v>
      </c>
      <c r="F57" s="5" t="s">
        <v>105</v>
      </c>
      <c r="G57" s="6" t="s">
        <v>398</v>
      </c>
      <c r="H57" s="4" t="s">
        <v>123</v>
      </c>
      <c r="I57" s="4">
        <v>0</v>
      </c>
    </row>
    <row r="58" spans="1:9" ht="45" x14ac:dyDescent="0.25">
      <c r="A58" s="2">
        <f>IF(BD_Versos[[#This Row],[Tema_Principal]]="","",ROW(BD_Versos[[#This Row],[Tema_Principal]])-1)</f>
        <v>57</v>
      </c>
      <c r="B58" s="3" t="s">
        <v>41</v>
      </c>
      <c r="C58" s="2" t="s">
        <v>117</v>
      </c>
      <c r="D58" s="4" t="s">
        <v>33</v>
      </c>
      <c r="E58" s="4">
        <v>4</v>
      </c>
      <c r="F58" s="5" t="s">
        <v>127</v>
      </c>
      <c r="G58" s="6" t="s">
        <v>399</v>
      </c>
      <c r="H58" s="4" t="s">
        <v>126</v>
      </c>
      <c r="I58" s="4">
        <v>0</v>
      </c>
    </row>
    <row r="59" spans="1:9" ht="45" x14ac:dyDescent="0.25">
      <c r="A59" s="2">
        <f>IF(BD_Versos[[#This Row],[Tema_Principal]]="","",ROW(BD_Versos[[#This Row],[Tema_Principal]])-1)</f>
        <v>58</v>
      </c>
      <c r="B59" s="3" t="s">
        <v>41</v>
      </c>
      <c r="C59" s="2" t="s">
        <v>117</v>
      </c>
      <c r="D59" s="4" t="s">
        <v>36</v>
      </c>
      <c r="E59" s="4">
        <v>6</v>
      </c>
      <c r="F59" s="5" t="s">
        <v>107</v>
      </c>
      <c r="G59" s="6" t="s">
        <v>400</v>
      </c>
      <c r="H59" s="4" t="s">
        <v>128</v>
      </c>
      <c r="I59" s="4">
        <v>0</v>
      </c>
    </row>
    <row r="60" spans="1:9" ht="30" x14ac:dyDescent="0.25">
      <c r="A60" s="2">
        <f>IF(BD_Versos[[#This Row],[Tema_Principal]]="","",ROW(BD_Versos[[#This Row],[Tema_Principal]])-1)</f>
        <v>59</v>
      </c>
      <c r="B60" s="3" t="s">
        <v>41</v>
      </c>
      <c r="C60" s="2" t="s">
        <v>117</v>
      </c>
      <c r="D60" s="4" t="s">
        <v>91</v>
      </c>
      <c r="E60" s="4">
        <v>1</v>
      </c>
      <c r="F60" s="5" t="s">
        <v>110</v>
      </c>
      <c r="G60" s="6" t="s">
        <v>401</v>
      </c>
      <c r="I60" s="4">
        <v>0</v>
      </c>
    </row>
    <row r="61" spans="1:9" ht="30" x14ac:dyDescent="0.25">
      <c r="A61" s="2">
        <f>IF(BD_Versos[[#This Row],[Tema_Principal]]="","",ROW(BD_Versos[[#This Row],[Tema_Principal]])-1)</f>
        <v>60</v>
      </c>
      <c r="B61" s="3" t="s">
        <v>41</v>
      </c>
      <c r="C61" s="2" t="s">
        <v>117</v>
      </c>
      <c r="D61" s="4" t="s">
        <v>37</v>
      </c>
      <c r="E61" s="4">
        <v>2</v>
      </c>
      <c r="F61" s="5" t="s">
        <v>38</v>
      </c>
      <c r="G61" s="6" t="s">
        <v>361</v>
      </c>
      <c r="H61" s="4" t="s">
        <v>129</v>
      </c>
      <c r="I61" s="4">
        <v>0</v>
      </c>
    </row>
    <row r="62" spans="1:9" x14ac:dyDescent="0.25">
      <c r="A62" s="2">
        <f>IF(BD_Versos[[#This Row],[Tema_Principal]]="","",ROW(BD_Versos[[#This Row],[Tema_Principal]])-1)</f>
        <v>61</v>
      </c>
      <c r="B62" s="3" t="s">
        <v>41</v>
      </c>
      <c r="C62" s="2" t="s">
        <v>117</v>
      </c>
      <c r="D62" s="4" t="s">
        <v>20</v>
      </c>
      <c r="E62" s="4">
        <v>2</v>
      </c>
      <c r="F62" s="5" t="s">
        <v>48</v>
      </c>
      <c r="G62" s="6" t="s">
        <v>402</v>
      </c>
      <c r="I62" s="4">
        <v>0</v>
      </c>
    </row>
    <row r="63" spans="1:9" ht="45" x14ac:dyDescent="0.25">
      <c r="A63" s="2">
        <f>IF(BD_Versos[[#This Row],[Tema_Principal]]="","",ROW(BD_Versos[[#This Row],[Tema_Principal]])-1)</f>
        <v>62</v>
      </c>
      <c r="B63" s="3" t="s">
        <v>41</v>
      </c>
      <c r="C63" s="2" t="s">
        <v>117</v>
      </c>
      <c r="D63" s="4" t="s">
        <v>24</v>
      </c>
      <c r="E63" s="4">
        <v>2</v>
      </c>
      <c r="F63" s="5" t="s">
        <v>44</v>
      </c>
      <c r="G63" s="6" t="s">
        <v>385</v>
      </c>
      <c r="I63" s="4">
        <v>0</v>
      </c>
    </row>
    <row r="64" spans="1:9" ht="30" x14ac:dyDescent="0.25">
      <c r="A64" s="2">
        <f>IF(BD_Versos[[#This Row],[Tema_Principal]]="","",ROW(BD_Versos[[#This Row],[Tema_Principal]])-1)</f>
        <v>63</v>
      </c>
      <c r="B64" s="3" t="s">
        <v>41</v>
      </c>
      <c r="C64" s="2" t="s">
        <v>117</v>
      </c>
      <c r="D64" s="4" t="s">
        <v>39</v>
      </c>
      <c r="E64" s="4">
        <v>11</v>
      </c>
      <c r="F64" s="5" t="s">
        <v>40</v>
      </c>
      <c r="G64" s="6" t="s">
        <v>403</v>
      </c>
      <c r="I64" s="4">
        <v>0</v>
      </c>
    </row>
    <row r="65" spans="1:9" ht="30" x14ac:dyDescent="0.25">
      <c r="A65" s="2">
        <f>IF(BD_Versos[[#This Row],[Tema_Principal]]="","",ROW(BD_Versos[[#This Row],[Tema_Principal]])-1)</f>
        <v>64</v>
      </c>
      <c r="B65" s="3" t="s">
        <v>41</v>
      </c>
      <c r="C65" s="2" t="s">
        <v>117</v>
      </c>
      <c r="D65" s="4" t="s">
        <v>39</v>
      </c>
      <c r="E65" s="4">
        <v>13</v>
      </c>
      <c r="F65" s="5" t="s">
        <v>46</v>
      </c>
      <c r="G65" s="6" t="s">
        <v>404</v>
      </c>
      <c r="I65" s="4">
        <v>0</v>
      </c>
    </row>
    <row r="66" spans="1:9" ht="30" x14ac:dyDescent="0.25">
      <c r="A66" s="2">
        <f>IF(BD_Versos[[#This Row],[Tema_Principal]]="","",ROW(BD_Versos[[#This Row],[Tema_Principal]])-1)</f>
        <v>65</v>
      </c>
      <c r="B66" s="3" t="s">
        <v>41</v>
      </c>
      <c r="C66" s="2" t="s">
        <v>117</v>
      </c>
      <c r="D66" s="4" t="s">
        <v>39</v>
      </c>
      <c r="E66" s="4">
        <v>13</v>
      </c>
      <c r="F66" s="5" t="s">
        <v>40</v>
      </c>
      <c r="G66" s="6" t="s">
        <v>405</v>
      </c>
      <c r="I66" s="4">
        <v>0</v>
      </c>
    </row>
    <row r="67" spans="1:9" ht="45" x14ac:dyDescent="0.25">
      <c r="A67" s="2">
        <f>IF(BD_Versos[[#This Row],[Tema_Principal]]="","",ROW(BD_Versos[[#This Row],[Tema_Principal]])-1)</f>
        <v>66</v>
      </c>
      <c r="B67" s="3" t="s">
        <v>41</v>
      </c>
      <c r="C67" s="2" t="s">
        <v>130</v>
      </c>
      <c r="D67" s="4" t="s">
        <v>43</v>
      </c>
      <c r="E67" s="4">
        <v>3</v>
      </c>
      <c r="F67" s="5" t="s">
        <v>25</v>
      </c>
      <c r="G67" s="6" t="s">
        <v>406</v>
      </c>
      <c r="I67" s="4">
        <v>0</v>
      </c>
    </row>
    <row r="68" spans="1:9" ht="30" x14ac:dyDescent="0.25">
      <c r="A68" s="2">
        <f>IF(BD_Versos[[#This Row],[Tema_Principal]]="","",ROW(BD_Versos[[#This Row],[Tema_Principal]])-1)</f>
        <v>67</v>
      </c>
      <c r="B68" s="3" t="s">
        <v>41</v>
      </c>
      <c r="C68" s="2" t="s">
        <v>130</v>
      </c>
      <c r="D68" s="4" t="s">
        <v>43</v>
      </c>
      <c r="E68" s="4">
        <v>3</v>
      </c>
      <c r="F68" s="5" t="s">
        <v>141</v>
      </c>
      <c r="G68" s="6" t="s">
        <v>407</v>
      </c>
      <c r="H68" s="4" t="s">
        <v>142</v>
      </c>
      <c r="I68" s="4">
        <v>0</v>
      </c>
    </row>
    <row r="69" spans="1:9" x14ac:dyDescent="0.25">
      <c r="A69" s="2">
        <f>IF(BD_Versos[[#This Row],[Tema_Principal]]="","",ROW(BD_Versos[[#This Row],[Tema_Principal]])-1)</f>
        <v>68</v>
      </c>
      <c r="B69" s="3" t="s">
        <v>41</v>
      </c>
      <c r="C69" s="2" t="s">
        <v>130</v>
      </c>
      <c r="D69" s="4" t="s">
        <v>131</v>
      </c>
      <c r="E69" s="4">
        <v>21</v>
      </c>
      <c r="F69" s="5" t="s">
        <v>25</v>
      </c>
      <c r="G69" s="6" t="s">
        <v>408</v>
      </c>
      <c r="H69" s="4" t="s">
        <v>153</v>
      </c>
      <c r="I69" s="4">
        <v>0</v>
      </c>
    </row>
    <row r="70" spans="1:9" ht="60" x14ac:dyDescent="0.25">
      <c r="A70" s="2">
        <f>IF(BD_Versos[[#This Row],[Tema_Principal]]="","",ROW(BD_Versos[[#This Row],[Tema_Principal]])-1)</f>
        <v>69</v>
      </c>
      <c r="B70" s="3" t="s">
        <v>41</v>
      </c>
      <c r="C70" s="2" t="s">
        <v>130</v>
      </c>
      <c r="D70" s="4" t="s">
        <v>45</v>
      </c>
      <c r="E70" s="4">
        <v>1</v>
      </c>
      <c r="F70" s="5" t="s">
        <v>143</v>
      </c>
      <c r="G70" s="6" t="s">
        <v>409</v>
      </c>
      <c r="H70" s="4" t="s">
        <v>144</v>
      </c>
      <c r="I70" s="4">
        <v>0</v>
      </c>
    </row>
    <row r="71" spans="1:9" ht="30" x14ac:dyDescent="0.25">
      <c r="A71" s="2">
        <f>IF(BD_Versos[[#This Row],[Tema_Principal]]="","",ROW(BD_Versos[[#This Row],[Tema_Principal]])-1)</f>
        <v>70</v>
      </c>
      <c r="B71" s="3" t="s">
        <v>41</v>
      </c>
      <c r="C71" s="2" t="s">
        <v>130</v>
      </c>
      <c r="D71" s="4" t="s">
        <v>45</v>
      </c>
      <c r="E71" s="4">
        <v>2</v>
      </c>
      <c r="F71" s="5" t="s">
        <v>40</v>
      </c>
      <c r="G71" s="6" t="s">
        <v>410</v>
      </c>
      <c r="H71" s="4" t="s">
        <v>145</v>
      </c>
      <c r="I71" s="4">
        <v>0</v>
      </c>
    </row>
    <row r="72" spans="1:9" x14ac:dyDescent="0.25">
      <c r="A72" s="2">
        <f>IF(BD_Versos[[#This Row],[Tema_Principal]]="","",ROW(BD_Versos[[#This Row],[Tema_Principal]])-1)</f>
        <v>71</v>
      </c>
      <c r="B72" s="3" t="s">
        <v>41</v>
      </c>
      <c r="C72" s="2" t="s">
        <v>130</v>
      </c>
      <c r="D72" s="4" t="s">
        <v>68</v>
      </c>
      <c r="E72" s="4">
        <v>109</v>
      </c>
      <c r="F72" s="5" t="s">
        <v>31</v>
      </c>
      <c r="G72" s="6" t="s">
        <v>411</v>
      </c>
      <c r="I72" s="4">
        <v>0</v>
      </c>
    </row>
    <row r="73" spans="1:9" ht="30" x14ac:dyDescent="0.25">
      <c r="A73" s="2">
        <f>IF(BD_Versos[[#This Row],[Tema_Principal]]="","",ROW(BD_Versos[[#This Row],[Tema_Principal]])-1)</f>
        <v>72</v>
      </c>
      <c r="B73" s="3" t="s">
        <v>41</v>
      </c>
      <c r="C73" s="2" t="s">
        <v>130</v>
      </c>
      <c r="D73" s="4" t="s">
        <v>132</v>
      </c>
      <c r="E73" s="4">
        <v>3</v>
      </c>
      <c r="F73" s="5" t="s">
        <v>25</v>
      </c>
      <c r="G73" s="6" t="s">
        <v>412</v>
      </c>
      <c r="H73" s="4" t="s">
        <v>146</v>
      </c>
      <c r="I73" s="4">
        <v>0</v>
      </c>
    </row>
    <row r="74" spans="1:9" x14ac:dyDescent="0.25">
      <c r="A74" s="2">
        <f>IF(BD_Versos[[#This Row],[Tema_Principal]]="","",ROW(BD_Versos[[#This Row],[Tema_Principal]])-1)</f>
        <v>73</v>
      </c>
      <c r="B74" s="3" t="s">
        <v>41</v>
      </c>
      <c r="C74" s="2" t="s">
        <v>130</v>
      </c>
      <c r="D74" s="4" t="s">
        <v>47</v>
      </c>
      <c r="E74" s="4">
        <v>4</v>
      </c>
      <c r="F74" s="5" t="s">
        <v>25</v>
      </c>
      <c r="G74" s="6" t="s">
        <v>413</v>
      </c>
      <c r="H74" s="4" t="s">
        <v>147</v>
      </c>
      <c r="I74" s="4">
        <v>0</v>
      </c>
    </row>
    <row r="75" spans="1:9" x14ac:dyDescent="0.25">
      <c r="A75" s="2">
        <f>IF(BD_Versos[[#This Row],[Tema_Principal]]="","",ROW(BD_Versos[[#This Row],[Tema_Principal]])-1)</f>
        <v>74</v>
      </c>
      <c r="B75" s="3" t="s">
        <v>41</v>
      </c>
      <c r="C75" s="2" t="s">
        <v>130</v>
      </c>
      <c r="D75" s="4" t="s">
        <v>47</v>
      </c>
      <c r="E75" s="4">
        <v>4</v>
      </c>
      <c r="F75" s="5" t="s">
        <v>35</v>
      </c>
      <c r="G75" s="6" t="s">
        <v>414</v>
      </c>
      <c r="I75" s="4">
        <v>0</v>
      </c>
    </row>
    <row r="76" spans="1:9" ht="45" x14ac:dyDescent="0.25">
      <c r="A76" s="2">
        <f>IF(BD_Versos[[#This Row],[Tema_Principal]]="","",ROW(BD_Versos[[#This Row],[Tema_Principal]])-1)</f>
        <v>75</v>
      </c>
      <c r="B76" s="3" t="s">
        <v>41</v>
      </c>
      <c r="C76" s="2" t="s">
        <v>130</v>
      </c>
      <c r="D76" s="4" t="s">
        <v>47</v>
      </c>
      <c r="E76" s="4">
        <v>8</v>
      </c>
      <c r="F76" s="5" t="s">
        <v>133</v>
      </c>
      <c r="G76" s="6" t="s">
        <v>415</v>
      </c>
      <c r="I76" s="4">
        <v>0</v>
      </c>
    </row>
    <row r="77" spans="1:9" x14ac:dyDescent="0.25">
      <c r="A77" s="2">
        <f>IF(BD_Versos[[#This Row],[Tema_Principal]]="","",ROW(BD_Versos[[#This Row],[Tema_Principal]])-1)</f>
        <v>76</v>
      </c>
      <c r="B77" s="3" t="s">
        <v>41</v>
      </c>
      <c r="C77" s="2" t="s">
        <v>130</v>
      </c>
      <c r="D77" s="4" t="s">
        <v>47</v>
      </c>
      <c r="E77" s="4">
        <v>13</v>
      </c>
      <c r="F77" s="5" t="s">
        <v>119</v>
      </c>
      <c r="G77" s="6" t="s">
        <v>416</v>
      </c>
      <c r="I77" s="4">
        <v>0</v>
      </c>
    </row>
    <row r="78" spans="1:9" ht="30" x14ac:dyDescent="0.25">
      <c r="A78" s="2">
        <f>IF(BD_Versos[[#This Row],[Tema_Principal]]="","",ROW(BD_Versos[[#This Row],[Tema_Principal]])-1)</f>
        <v>77</v>
      </c>
      <c r="B78" s="3" t="s">
        <v>41</v>
      </c>
      <c r="C78" s="2" t="s">
        <v>130</v>
      </c>
      <c r="D78" s="4" t="s">
        <v>47</v>
      </c>
      <c r="E78" s="4">
        <v>13</v>
      </c>
      <c r="F78" s="5" t="s">
        <v>134</v>
      </c>
      <c r="G78" s="6" t="s">
        <v>417</v>
      </c>
      <c r="H78" s="4" t="s">
        <v>148</v>
      </c>
      <c r="I78" s="4">
        <v>0</v>
      </c>
    </row>
    <row r="79" spans="1:9" x14ac:dyDescent="0.25">
      <c r="A79" s="2">
        <f>IF(BD_Versos[[#This Row],[Tema_Principal]]="","",ROW(BD_Versos[[#This Row],[Tema_Principal]])-1)</f>
        <v>78</v>
      </c>
      <c r="B79" s="3" t="s">
        <v>41</v>
      </c>
      <c r="C79" s="2" t="s">
        <v>130</v>
      </c>
      <c r="D79" s="4" t="s">
        <v>47</v>
      </c>
      <c r="E79" s="4">
        <v>13</v>
      </c>
      <c r="F79" s="5" t="s">
        <v>135</v>
      </c>
      <c r="G79" s="6" t="s">
        <v>418</v>
      </c>
      <c r="H79" s="4" t="s">
        <v>149</v>
      </c>
      <c r="I79" s="4">
        <v>0</v>
      </c>
    </row>
    <row r="80" spans="1:9" ht="45" x14ac:dyDescent="0.25">
      <c r="A80" s="2">
        <f>IF(BD_Versos[[#This Row],[Tema_Principal]]="","",ROW(BD_Versos[[#This Row],[Tema_Principal]])-1)</f>
        <v>79</v>
      </c>
      <c r="B80" s="3" t="s">
        <v>41</v>
      </c>
      <c r="C80" s="2" t="s">
        <v>130</v>
      </c>
      <c r="D80" s="4" t="s">
        <v>47</v>
      </c>
      <c r="E80" s="4">
        <v>13</v>
      </c>
      <c r="F80" s="5" t="s">
        <v>150</v>
      </c>
      <c r="G80" s="6" t="s">
        <v>419</v>
      </c>
      <c r="H80" s="4" t="s">
        <v>149</v>
      </c>
      <c r="I80" s="4">
        <v>0</v>
      </c>
    </row>
    <row r="81" spans="1:9" ht="30" x14ac:dyDescent="0.25">
      <c r="A81" s="2">
        <f>IF(BD_Versos[[#This Row],[Tema_Principal]]="","",ROW(BD_Versos[[#This Row],[Tema_Principal]])-1)</f>
        <v>80</v>
      </c>
      <c r="B81" s="3" t="s">
        <v>41</v>
      </c>
      <c r="C81" s="2" t="s">
        <v>130</v>
      </c>
      <c r="D81" s="4" t="s">
        <v>47</v>
      </c>
      <c r="E81" s="4">
        <v>15</v>
      </c>
      <c r="F81" s="5" t="s">
        <v>111</v>
      </c>
      <c r="G81" s="6" t="s">
        <v>420</v>
      </c>
      <c r="H81" s="4" t="s">
        <v>151</v>
      </c>
      <c r="I81" s="4">
        <v>0</v>
      </c>
    </row>
    <row r="82" spans="1:9" ht="30" x14ac:dyDescent="0.25">
      <c r="A82" s="2">
        <f>IF(BD_Versos[[#This Row],[Tema_Principal]]="","",ROW(BD_Versos[[#This Row],[Tema_Principal]])-1)</f>
        <v>81</v>
      </c>
      <c r="B82" s="3" t="s">
        <v>41</v>
      </c>
      <c r="C82" s="2" t="s">
        <v>130</v>
      </c>
      <c r="D82" s="4" t="s">
        <v>47</v>
      </c>
      <c r="E82" s="4">
        <v>17</v>
      </c>
      <c r="F82" s="5" t="s">
        <v>28</v>
      </c>
      <c r="G82" s="6" t="s">
        <v>421</v>
      </c>
      <c r="I82" s="4">
        <v>0</v>
      </c>
    </row>
    <row r="83" spans="1:9" x14ac:dyDescent="0.25">
      <c r="A83" s="2">
        <f>IF(BD_Versos[[#This Row],[Tema_Principal]]="","",ROW(BD_Versos[[#This Row],[Tema_Principal]])-1)</f>
        <v>82</v>
      </c>
      <c r="B83" s="3" t="s">
        <v>41</v>
      </c>
      <c r="C83" s="2" t="s">
        <v>130</v>
      </c>
      <c r="D83" s="4" t="s">
        <v>27</v>
      </c>
      <c r="E83" s="4">
        <v>1</v>
      </c>
      <c r="F83" s="5" t="s">
        <v>48</v>
      </c>
      <c r="G83" s="6" t="s">
        <v>422</v>
      </c>
      <c r="I83" s="4">
        <v>0</v>
      </c>
    </row>
    <row r="84" spans="1:9" ht="30" x14ac:dyDescent="0.25">
      <c r="A84" s="2">
        <f>IF(BD_Versos[[#This Row],[Tema_Principal]]="","",ROW(BD_Versos[[#This Row],[Tema_Principal]])-1)</f>
        <v>83</v>
      </c>
      <c r="B84" s="3" t="s">
        <v>41</v>
      </c>
      <c r="C84" s="2" t="s">
        <v>130</v>
      </c>
      <c r="D84" s="4" t="s">
        <v>27</v>
      </c>
      <c r="E84" s="4">
        <v>4</v>
      </c>
      <c r="F84" s="5" t="s">
        <v>28</v>
      </c>
      <c r="G84" s="6" t="s">
        <v>354</v>
      </c>
      <c r="H84" s="4" t="s">
        <v>148</v>
      </c>
      <c r="I84" s="4">
        <v>0</v>
      </c>
    </row>
    <row r="85" spans="1:9" x14ac:dyDescent="0.25">
      <c r="A85" s="2">
        <f>IF(BD_Versos[[#This Row],[Tema_Principal]]="","",ROW(BD_Versos[[#This Row],[Tema_Principal]])-1)</f>
        <v>84</v>
      </c>
      <c r="B85" s="3" t="s">
        <v>41</v>
      </c>
      <c r="C85" s="2" t="s">
        <v>130</v>
      </c>
      <c r="D85" s="4" t="s">
        <v>27</v>
      </c>
      <c r="E85" s="4">
        <v>5</v>
      </c>
      <c r="F85" s="5" t="s">
        <v>32</v>
      </c>
      <c r="G85" s="6" t="s">
        <v>423</v>
      </c>
      <c r="H85" s="4" t="s">
        <v>151</v>
      </c>
      <c r="I85" s="4">
        <v>0</v>
      </c>
    </row>
    <row r="86" spans="1:9" ht="30" x14ac:dyDescent="0.25">
      <c r="A86" s="2">
        <f>IF(BD_Versos[[#This Row],[Tema_Principal]]="","",ROW(BD_Versos[[#This Row],[Tema_Principal]])-1)</f>
        <v>85</v>
      </c>
      <c r="B86" s="3" t="s">
        <v>41</v>
      </c>
      <c r="C86" s="2" t="s">
        <v>130</v>
      </c>
      <c r="D86" s="4" t="s">
        <v>27</v>
      </c>
      <c r="E86" s="4">
        <v>9</v>
      </c>
      <c r="F86" s="5" t="s">
        <v>114</v>
      </c>
      <c r="G86" s="6" t="s">
        <v>424</v>
      </c>
      <c r="H86" s="4" t="s">
        <v>151</v>
      </c>
      <c r="I86" s="4">
        <v>0</v>
      </c>
    </row>
    <row r="87" spans="1:9" ht="30" x14ac:dyDescent="0.25">
      <c r="A87" s="2">
        <f>IF(BD_Versos[[#This Row],[Tema_Principal]]="","",ROW(BD_Versos[[#This Row],[Tema_Principal]])-1)</f>
        <v>86</v>
      </c>
      <c r="B87" s="3" t="s">
        <v>41</v>
      </c>
      <c r="C87" s="2" t="s">
        <v>130</v>
      </c>
      <c r="D87" s="4" t="s">
        <v>27</v>
      </c>
      <c r="E87" s="4">
        <v>9</v>
      </c>
      <c r="F87" s="5" t="s">
        <v>111</v>
      </c>
      <c r="G87" s="6" t="s">
        <v>425</v>
      </c>
      <c r="H87" s="4" t="s">
        <v>151</v>
      </c>
      <c r="I87" s="4">
        <v>0</v>
      </c>
    </row>
    <row r="88" spans="1:9" x14ac:dyDescent="0.25">
      <c r="A88" s="2">
        <f>IF(BD_Versos[[#This Row],[Tema_Principal]]="","",ROW(BD_Versos[[#This Row],[Tema_Principal]])-1)</f>
        <v>87</v>
      </c>
      <c r="B88" s="3" t="s">
        <v>41</v>
      </c>
      <c r="C88" s="2" t="s">
        <v>130</v>
      </c>
      <c r="D88" s="4" t="s">
        <v>30</v>
      </c>
      <c r="E88" s="4">
        <v>4</v>
      </c>
      <c r="F88" s="5" t="s">
        <v>35</v>
      </c>
      <c r="G88" s="6" t="s">
        <v>426</v>
      </c>
      <c r="H88" s="4" t="s">
        <v>147</v>
      </c>
      <c r="I88" s="4">
        <v>0</v>
      </c>
    </row>
    <row r="89" spans="1:9" ht="30" x14ac:dyDescent="0.25">
      <c r="A89" s="2">
        <f>IF(BD_Versos[[#This Row],[Tema_Principal]]="","",ROW(BD_Versos[[#This Row],[Tema_Principal]])-1)</f>
        <v>88</v>
      </c>
      <c r="B89" s="3" t="s">
        <v>41</v>
      </c>
      <c r="C89" s="2" t="s">
        <v>130</v>
      </c>
      <c r="D89" s="4" t="s">
        <v>30</v>
      </c>
      <c r="E89" s="4">
        <v>4</v>
      </c>
      <c r="F89" s="5" t="s">
        <v>136</v>
      </c>
      <c r="G89" s="6" t="s">
        <v>427</v>
      </c>
      <c r="H89" s="4" t="s">
        <v>147</v>
      </c>
      <c r="I89" s="4">
        <v>0</v>
      </c>
    </row>
    <row r="90" spans="1:9" ht="30" x14ac:dyDescent="0.25">
      <c r="A90" s="2">
        <f>IF(BD_Versos[[#This Row],[Tema_Principal]]="","",ROW(BD_Versos[[#This Row],[Tema_Principal]])-1)</f>
        <v>89</v>
      </c>
      <c r="B90" s="3" t="s">
        <v>41</v>
      </c>
      <c r="C90" s="2" t="s">
        <v>130</v>
      </c>
      <c r="D90" s="4" t="s">
        <v>30</v>
      </c>
      <c r="E90" s="4">
        <v>8</v>
      </c>
      <c r="F90" s="5" t="s">
        <v>107</v>
      </c>
      <c r="G90" s="6" t="s">
        <v>428</v>
      </c>
      <c r="H90" s="4" t="s">
        <v>148</v>
      </c>
      <c r="I90" s="4">
        <v>0</v>
      </c>
    </row>
    <row r="91" spans="1:9" ht="30" x14ac:dyDescent="0.25">
      <c r="A91" s="2">
        <f>IF(BD_Versos[[#This Row],[Tema_Principal]]="","",ROW(BD_Versos[[#This Row],[Tema_Principal]])-1)</f>
        <v>90</v>
      </c>
      <c r="B91" s="3" t="s">
        <v>41</v>
      </c>
      <c r="C91" s="2" t="s">
        <v>130</v>
      </c>
      <c r="D91" s="4" t="s">
        <v>30</v>
      </c>
      <c r="E91" s="4">
        <v>8</v>
      </c>
      <c r="F91" s="5" t="s">
        <v>109</v>
      </c>
      <c r="G91" s="6" t="s">
        <v>429</v>
      </c>
      <c r="I91" s="4">
        <v>0</v>
      </c>
    </row>
    <row r="92" spans="1:9" ht="45" x14ac:dyDescent="0.25">
      <c r="A92" s="2">
        <f>IF(BD_Versos[[#This Row],[Tema_Principal]]="","",ROW(BD_Versos[[#This Row],[Tema_Principal]])-1)</f>
        <v>91</v>
      </c>
      <c r="B92" s="3" t="s">
        <v>41</v>
      </c>
      <c r="C92" s="2" t="s">
        <v>130</v>
      </c>
      <c r="D92" s="4" t="s">
        <v>30</v>
      </c>
      <c r="E92" s="4">
        <v>8</v>
      </c>
      <c r="F92" s="5" t="s">
        <v>108</v>
      </c>
      <c r="G92" s="6" t="s">
        <v>394</v>
      </c>
      <c r="H92" s="4" t="s">
        <v>151</v>
      </c>
      <c r="I92" s="4">
        <v>0</v>
      </c>
    </row>
    <row r="93" spans="1:9" ht="30" x14ac:dyDescent="0.25">
      <c r="A93" s="2">
        <f>IF(BD_Versos[[#This Row],[Tema_Principal]]="","",ROW(BD_Versos[[#This Row],[Tema_Principal]])-1)</f>
        <v>92</v>
      </c>
      <c r="B93" s="3" t="s">
        <v>41</v>
      </c>
      <c r="C93" s="2" t="s">
        <v>130</v>
      </c>
      <c r="D93" s="4" t="s">
        <v>30</v>
      </c>
      <c r="E93" s="4">
        <v>9</v>
      </c>
      <c r="F93" s="5" t="s">
        <v>137</v>
      </c>
      <c r="G93" s="6" t="s">
        <v>430</v>
      </c>
      <c r="H93" s="4" t="s">
        <v>151</v>
      </c>
      <c r="I93" s="4">
        <v>0</v>
      </c>
    </row>
    <row r="94" spans="1:9" ht="30" x14ac:dyDescent="0.25">
      <c r="A94" s="2">
        <f>IF(BD_Versos[[#This Row],[Tema_Principal]]="","",ROW(BD_Versos[[#This Row],[Tema_Principal]])-1)</f>
        <v>93</v>
      </c>
      <c r="B94" s="3" t="s">
        <v>41</v>
      </c>
      <c r="C94" s="2" t="s">
        <v>130</v>
      </c>
      <c r="D94" s="4" t="s">
        <v>30</v>
      </c>
      <c r="E94" s="4">
        <v>9</v>
      </c>
      <c r="F94" s="5" t="s">
        <v>138</v>
      </c>
      <c r="G94" s="6" t="s">
        <v>431</v>
      </c>
      <c r="H94" s="4" t="s">
        <v>151</v>
      </c>
      <c r="I94" s="4">
        <v>0</v>
      </c>
    </row>
    <row r="95" spans="1:9" ht="30" x14ac:dyDescent="0.25">
      <c r="A95" s="2">
        <f>IF(BD_Versos[[#This Row],[Tema_Principal]]="","",ROW(BD_Versos[[#This Row],[Tema_Principal]])-1)</f>
        <v>94</v>
      </c>
      <c r="B95" s="3" t="s">
        <v>41</v>
      </c>
      <c r="C95" s="2" t="s">
        <v>130</v>
      </c>
      <c r="D95" s="4" t="s">
        <v>30</v>
      </c>
      <c r="E95" s="4">
        <v>13</v>
      </c>
      <c r="F95" s="5" t="s">
        <v>121</v>
      </c>
      <c r="G95" s="6" t="s">
        <v>396</v>
      </c>
      <c r="H95" s="4" t="s">
        <v>145</v>
      </c>
      <c r="I95" s="4">
        <v>0</v>
      </c>
    </row>
    <row r="96" spans="1:9" x14ac:dyDescent="0.25">
      <c r="A96" s="2">
        <f>IF(BD_Versos[[#This Row],[Tema_Principal]]="","",ROW(BD_Versos[[#This Row],[Tema_Principal]])-1)</f>
        <v>95</v>
      </c>
      <c r="B96" s="3" t="s">
        <v>41</v>
      </c>
      <c r="C96" s="2" t="s">
        <v>130</v>
      </c>
      <c r="D96" s="4" t="s">
        <v>30</v>
      </c>
      <c r="E96" s="4">
        <v>22</v>
      </c>
      <c r="F96" s="5" t="s">
        <v>35</v>
      </c>
      <c r="G96" s="6" t="s">
        <v>432</v>
      </c>
      <c r="H96" s="4" t="s">
        <v>153</v>
      </c>
      <c r="I96" s="4">
        <v>0</v>
      </c>
    </row>
    <row r="97" spans="1:9" ht="30" x14ac:dyDescent="0.25">
      <c r="A97" s="2">
        <f>IF(BD_Versos[[#This Row],[Tema_Principal]]="","",ROW(BD_Versos[[#This Row],[Tema_Principal]])-1)</f>
        <v>96</v>
      </c>
      <c r="B97" s="3" t="s">
        <v>41</v>
      </c>
      <c r="C97" s="2" t="s">
        <v>130</v>
      </c>
      <c r="D97" s="4" t="s">
        <v>30</v>
      </c>
      <c r="E97" s="4">
        <v>22</v>
      </c>
      <c r="F97" s="5" t="s">
        <v>139</v>
      </c>
      <c r="G97" s="6" t="s">
        <v>433</v>
      </c>
      <c r="I97" s="4">
        <v>0</v>
      </c>
    </row>
    <row r="98" spans="1:9" ht="45" x14ac:dyDescent="0.25">
      <c r="A98" s="2">
        <f>IF(BD_Versos[[#This Row],[Tema_Principal]]="","",ROW(BD_Versos[[#This Row],[Tema_Principal]])-1)</f>
        <v>97</v>
      </c>
      <c r="B98" s="3" t="s">
        <v>41</v>
      </c>
      <c r="C98" s="2" t="s">
        <v>130</v>
      </c>
      <c r="D98" s="4" t="s">
        <v>88</v>
      </c>
      <c r="E98" s="4">
        <v>8</v>
      </c>
      <c r="F98" s="5" t="s">
        <v>140</v>
      </c>
      <c r="G98" s="6" t="s">
        <v>434</v>
      </c>
      <c r="H98" s="4" t="s">
        <v>152</v>
      </c>
      <c r="I98" s="4">
        <v>0</v>
      </c>
    </row>
    <row r="99" spans="1:9" ht="30" x14ac:dyDescent="0.25">
      <c r="A99" s="2">
        <f>IF(BD_Versos[[#This Row],[Tema_Principal]]="","",ROW(BD_Versos[[#This Row],[Tema_Principal]])-1)</f>
        <v>98</v>
      </c>
      <c r="B99" s="3" t="s">
        <v>41</v>
      </c>
      <c r="C99" s="2" t="s">
        <v>130</v>
      </c>
      <c r="D99" s="4" t="s">
        <v>88</v>
      </c>
      <c r="E99" s="4">
        <v>13</v>
      </c>
      <c r="F99" s="5" t="s">
        <v>46</v>
      </c>
      <c r="G99" s="6" t="s">
        <v>435</v>
      </c>
      <c r="H99" s="4" t="s">
        <v>153</v>
      </c>
      <c r="I99" s="4">
        <v>0</v>
      </c>
    </row>
    <row r="100" spans="1:9" x14ac:dyDescent="0.25">
      <c r="A100" s="2">
        <f>IF(BD_Versos[[#This Row],[Tema_Principal]]="","",ROW(BD_Versos[[#This Row],[Tema_Principal]])-1)</f>
        <v>99</v>
      </c>
      <c r="B100" s="3" t="s">
        <v>41</v>
      </c>
      <c r="C100" s="2" t="s">
        <v>130</v>
      </c>
      <c r="D100" s="4" t="s">
        <v>88</v>
      </c>
      <c r="E100" s="4">
        <v>13</v>
      </c>
      <c r="F100" s="5" t="s">
        <v>109</v>
      </c>
      <c r="G100" s="6" t="s">
        <v>436</v>
      </c>
      <c r="H100" s="4" t="s">
        <v>153</v>
      </c>
      <c r="I100" s="4">
        <v>0</v>
      </c>
    </row>
    <row r="101" spans="1:9" ht="30" x14ac:dyDescent="0.25">
      <c r="A101" s="2">
        <f>IF(BD_Versos[[#This Row],[Tema_Principal]]="","",ROW(BD_Versos[[#This Row],[Tema_Principal]])-1)</f>
        <v>100</v>
      </c>
      <c r="B101" s="3" t="s">
        <v>41</v>
      </c>
      <c r="C101" s="2" t="s">
        <v>130</v>
      </c>
      <c r="D101" s="4" t="s">
        <v>10</v>
      </c>
      <c r="E101" s="4">
        <v>5</v>
      </c>
      <c r="F101" s="5" t="s">
        <v>35</v>
      </c>
      <c r="G101" s="6" t="s">
        <v>437</v>
      </c>
      <c r="H101" s="4" t="s">
        <v>153</v>
      </c>
      <c r="I101" s="4">
        <v>0</v>
      </c>
    </row>
    <row r="102" spans="1:9" x14ac:dyDescent="0.25">
      <c r="A102" s="2">
        <f>IF(BD_Versos[[#This Row],[Tema_Principal]]="","",ROW(BD_Versos[[#This Row],[Tema_Principal]])-1)</f>
        <v>101</v>
      </c>
      <c r="B102" s="3" t="s">
        <v>41</v>
      </c>
      <c r="C102" s="2" t="s">
        <v>130</v>
      </c>
      <c r="D102" s="4" t="s">
        <v>33</v>
      </c>
      <c r="E102" s="4">
        <v>2</v>
      </c>
      <c r="F102" s="5" t="s">
        <v>34</v>
      </c>
      <c r="G102" s="6" t="s">
        <v>358</v>
      </c>
      <c r="H102" s="4" t="s">
        <v>153</v>
      </c>
      <c r="I102" s="4">
        <v>0</v>
      </c>
    </row>
    <row r="103" spans="1:9" ht="30" x14ac:dyDescent="0.25">
      <c r="A103" s="2">
        <f>IF(BD_Versos[[#This Row],[Tema_Principal]]="","",ROW(BD_Versos[[#This Row],[Tema_Principal]])-1)</f>
        <v>102</v>
      </c>
      <c r="B103" s="3" t="s">
        <v>41</v>
      </c>
      <c r="C103" s="2" t="s">
        <v>130</v>
      </c>
      <c r="D103" s="4" t="s">
        <v>33</v>
      </c>
      <c r="E103" s="4">
        <v>11</v>
      </c>
      <c r="F103" s="5" t="s">
        <v>35</v>
      </c>
      <c r="G103" s="6" t="s">
        <v>359</v>
      </c>
      <c r="H103" s="4" t="s">
        <v>153</v>
      </c>
      <c r="I103" s="4">
        <v>0</v>
      </c>
    </row>
    <row r="104" spans="1:9" ht="30" x14ac:dyDescent="0.25">
      <c r="A104" s="2">
        <f>IF(BD_Versos[[#This Row],[Tema_Principal]]="","",ROW(BD_Versos[[#This Row],[Tema_Principal]])-1)</f>
        <v>103</v>
      </c>
      <c r="B104" s="3" t="s">
        <v>41</v>
      </c>
      <c r="C104" s="2" t="s">
        <v>130</v>
      </c>
      <c r="D104" s="4" t="s">
        <v>33</v>
      </c>
      <c r="E104" s="4">
        <v>12</v>
      </c>
      <c r="F104" s="5" t="s">
        <v>40</v>
      </c>
      <c r="G104" s="6" t="s">
        <v>438</v>
      </c>
      <c r="I104" s="4">
        <v>0</v>
      </c>
    </row>
    <row r="105" spans="1:9" ht="30" x14ac:dyDescent="0.25">
      <c r="A105" s="2">
        <f>IF(BD_Versos[[#This Row],[Tema_Principal]]="","",ROW(BD_Versos[[#This Row],[Tema_Principal]])-1)</f>
        <v>104</v>
      </c>
      <c r="B105" s="3" t="s">
        <v>41</v>
      </c>
      <c r="C105" s="2" t="s">
        <v>130</v>
      </c>
      <c r="D105" s="4" t="s">
        <v>36</v>
      </c>
      <c r="E105" s="4">
        <v>2</v>
      </c>
      <c r="F105" s="5" t="s">
        <v>46</v>
      </c>
      <c r="G105" s="6" t="s">
        <v>439</v>
      </c>
      <c r="H105" s="4" t="s">
        <v>153</v>
      </c>
      <c r="I105" s="4">
        <v>0</v>
      </c>
    </row>
    <row r="106" spans="1:9" ht="30" x14ac:dyDescent="0.25">
      <c r="A106" s="2">
        <f>IF(BD_Versos[[#This Row],[Tema_Principal]]="","",ROW(BD_Versos[[#This Row],[Tema_Principal]])-1)</f>
        <v>105</v>
      </c>
      <c r="B106" s="3" t="s">
        <v>41</v>
      </c>
      <c r="C106" s="2" t="s">
        <v>130</v>
      </c>
      <c r="D106" s="4" t="s">
        <v>92</v>
      </c>
      <c r="E106" s="4">
        <v>2</v>
      </c>
      <c r="F106" s="5" t="s">
        <v>105</v>
      </c>
      <c r="G106" s="6" t="s">
        <v>440</v>
      </c>
      <c r="H106" s="4" t="s">
        <v>286</v>
      </c>
      <c r="I106" s="4">
        <v>0</v>
      </c>
    </row>
    <row r="107" spans="1:9" x14ac:dyDescent="0.25">
      <c r="A107" s="2">
        <f>IF(BD_Versos[[#This Row],[Tema_Principal]]="","",ROW(BD_Versos[[#This Row],[Tema_Principal]])-1)</f>
        <v>106</v>
      </c>
      <c r="B107" s="3" t="s">
        <v>41</v>
      </c>
      <c r="C107" s="2" t="s">
        <v>130</v>
      </c>
      <c r="D107" s="4" t="s">
        <v>20</v>
      </c>
      <c r="E107" s="4">
        <v>2</v>
      </c>
      <c r="F107" s="5" t="s">
        <v>48</v>
      </c>
      <c r="G107" s="6" t="s">
        <v>402</v>
      </c>
      <c r="H107" s="4" t="s">
        <v>286</v>
      </c>
      <c r="I107" s="4">
        <v>0</v>
      </c>
    </row>
    <row r="108" spans="1:9" ht="30" x14ac:dyDescent="0.25">
      <c r="A108" s="2">
        <f>IF(BD_Versos[[#This Row],[Tema_Principal]]="","",ROW(BD_Versos[[#This Row],[Tema_Principal]])-1)</f>
        <v>107</v>
      </c>
      <c r="B108" s="3" t="s">
        <v>41</v>
      </c>
      <c r="C108" s="2" t="s">
        <v>130</v>
      </c>
      <c r="D108" s="4" t="s">
        <v>97</v>
      </c>
      <c r="E108" s="4">
        <v>5</v>
      </c>
      <c r="F108" s="5" t="s">
        <v>115</v>
      </c>
      <c r="G108" s="6" t="s">
        <v>441</v>
      </c>
      <c r="H108" s="4" t="s">
        <v>154</v>
      </c>
      <c r="I108" s="4">
        <v>0</v>
      </c>
    </row>
    <row r="109" spans="1:9" ht="30" x14ac:dyDescent="0.25">
      <c r="A109" s="2">
        <f>IF(BD_Versos[[#This Row],[Tema_Principal]]="","",ROW(BD_Versos[[#This Row],[Tema_Principal]])-1)</f>
        <v>108</v>
      </c>
      <c r="B109" s="3" t="s">
        <v>41</v>
      </c>
      <c r="C109" s="2" t="s">
        <v>130</v>
      </c>
      <c r="D109" s="4" t="s">
        <v>39</v>
      </c>
      <c r="E109" s="4">
        <v>2</v>
      </c>
      <c r="F109" s="5" t="s">
        <v>116</v>
      </c>
      <c r="G109" s="6" t="s">
        <v>442</v>
      </c>
      <c r="I109" s="4">
        <v>0</v>
      </c>
    </row>
    <row r="110" spans="1:9" ht="45" x14ac:dyDescent="0.25">
      <c r="A110" s="2">
        <f>IF(BD_Versos[[#This Row],[Tema_Principal]]="","",ROW(BD_Versos[[#This Row],[Tema_Principal]])-1)</f>
        <v>109</v>
      </c>
      <c r="B110" s="3" t="s">
        <v>41</v>
      </c>
      <c r="C110" s="2" t="s">
        <v>130</v>
      </c>
      <c r="D110" s="4" t="s">
        <v>39</v>
      </c>
      <c r="E110" s="4">
        <v>12</v>
      </c>
      <c r="F110" s="5" t="s">
        <v>116</v>
      </c>
      <c r="G110" s="6" t="s">
        <v>443</v>
      </c>
      <c r="I110" s="4">
        <v>0</v>
      </c>
    </row>
    <row r="111" spans="1:9" ht="30" x14ac:dyDescent="0.25">
      <c r="A111" s="2">
        <f>IF(BD_Versos[[#This Row],[Tema_Principal]]="","",ROW(BD_Versos[[#This Row],[Tema_Principal]])-1)</f>
        <v>110</v>
      </c>
      <c r="B111" s="3" t="s">
        <v>41</v>
      </c>
      <c r="C111" s="2" t="s">
        <v>130</v>
      </c>
      <c r="D111" s="4" t="s">
        <v>39</v>
      </c>
      <c r="E111" s="4">
        <v>12</v>
      </c>
      <c r="F111" s="5" t="s">
        <v>107</v>
      </c>
      <c r="G111" s="6" t="s">
        <v>444</v>
      </c>
      <c r="I111" s="4">
        <v>0</v>
      </c>
    </row>
    <row r="112" spans="1:9" ht="45" x14ac:dyDescent="0.25">
      <c r="A112" s="2">
        <f>IF(BD_Versos[[#This Row],[Tema_Principal]]="","",ROW(BD_Versos[[#This Row],[Tema_Principal]])-1)</f>
        <v>111</v>
      </c>
      <c r="B112" s="3" t="s">
        <v>41</v>
      </c>
      <c r="C112" s="2" t="s">
        <v>155</v>
      </c>
      <c r="D112" s="4" t="s">
        <v>43</v>
      </c>
      <c r="E112" s="4">
        <v>3</v>
      </c>
      <c r="F112" s="5" t="s">
        <v>44</v>
      </c>
      <c r="G112" s="6" t="s">
        <v>364</v>
      </c>
      <c r="I112" s="4">
        <v>0</v>
      </c>
    </row>
    <row r="113" spans="1:9" ht="30" x14ac:dyDescent="0.25">
      <c r="A113" s="2">
        <f>IF(BD_Versos[[#This Row],[Tema_Principal]]="","",ROW(BD_Versos[[#This Row],[Tema_Principal]])-1)</f>
        <v>112</v>
      </c>
      <c r="B113" s="3" t="s">
        <v>41</v>
      </c>
      <c r="C113" s="2" t="s">
        <v>155</v>
      </c>
      <c r="D113" s="4" t="s">
        <v>132</v>
      </c>
      <c r="E113" s="4">
        <v>3</v>
      </c>
      <c r="F113" s="5" t="s">
        <v>46</v>
      </c>
      <c r="G113" s="6" t="s">
        <v>445</v>
      </c>
      <c r="I113" s="4">
        <v>0</v>
      </c>
    </row>
    <row r="114" spans="1:9" x14ac:dyDescent="0.25">
      <c r="A114" s="2">
        <f>IF(BD_Versos[[#This Row],[Tema_Principal]]="","",ROW(BD_Versos[[#This Row],[Tema_Principal]])-1)</f>
        <v>113</v>
      </c>
      <c r="B114" s="3" t="s">
        <v>41</v>
      </c>
      <c r="C114" s="2" t="s">
        <v>155</v>
      </c>
      <c r="D114" s="4" t="s">
        <v>47</v>
      </c>
      <c r="E114" s="4">
        <v>8</v>
      </c>
      <c r="F114" s="5" t="s">
        <v>139</v>
      </c>
      <c r="G114" s="6" t="s">
        <v>446</v>
      </c>
      <c r="I114" s="4">
        <v>0</v>
      </c>
    </row>
    <row r="115" spans="1:9" ht="30" x14ac:dyDescent="0.25">
      <c r="A115" s="2">
        <f>IF(BD_Versos[[#This Row],[Tema_Principal]]="","",ROW(BD_Versos[[#This Row],[Tema_Principal]])-1)</f>
        <v>114</v>
      </c>
      <c r="B115" s="3" t="s">
        <v>41</v>
      </c>
      <c r="C115" s="2" t="s">
        <v>155</v>
      </c>
      <c r="D115" s="4" t="s">
        <v>47</v>
      </c>
      <c r="E115" s="4">
        <v>12</v>
      </c>
      <c r="F115" s="5" t="s">
        <v>108</v>
      </c>
      <c r="G115" s="6" t="s">
        <v>376</v>
      </c>
      <c r="I115" s="4">
        <v>0</v>
      </c>
    </row>
    <row r="116" spans="1:9" ht="30" x14ac:dyDescent="0.25">
      <c r="A116" s="2">
        <f>IF(BD_Versos[[#This Row],[Tema_Principal]]="","",ROW(BD_Versos[[#This Row],[Tema_Principal]])-1)</f>
        <v>115</v>
      </c>
      <c r="B116" s="3" t="s">
        <v>41</v>
      </c>
      <c r="C116" s="2" t="s">
        <v>155</v>
      </c>
      <c r="D116" s="4" t="s">
        <v>27</v>
      </c>
      <c r="E116" s="4">
        <v>3</v>
      </c>
      <c r="F116" s="5" t="s">
        <v>34</v>
      </c>
      <c r="G116" s="6" t="s">
        <v>447</v>
      </c>
      <c r="I116" s="4">
        <v>0</v>
      </c>
    </row>
    <row r="117" spans="1:9" x14ac:dyDescent="0.25">
      <c r="A117" s="2">
        <f>IF(BD_Versos[[#This Row],[Tema_Principal]]="","",ROW(BD_Versos[[#This Row],[Tema_Principal]])-1)</f>
        <v>116</v>
      </c>
      <c r="B117" s="3" t="s">
        <v>41</v>
      </c>
      <c r="C117" s="2" t="s">
        <v>155</v>
      </c>
      <c r="D117" s="4" t="s">
        <v>27</v>
      </c>
      <c r="E117" s="4">
        <v>5</v>
      </c>
      <c r="F117" s="5" t="s">
        <v>116</v>
      </c>
      <c r="G117" s="6" t="s">
        <v>448</v>
      </c>
      <c r="I117" s="4">
        <v>0</v>
      </c>
    </row>
    <row r="118" spans="1:9" x14ac:dyDescent="0.25">
      <c r="A118" s="2">
        <f>IF(BD_Versos[[#This Row],[Tema_Principal]]="","",ROW(BD_Versos[[#This Row],[Tema_Principal]])-1)</f>
        <v>117</v>
      </c>
      <c r="B118" s="3" t="s">
        <v>41</v>
      </c>
      <c r="C118" s="2" t="s">
        <v>155</v>
      </c>
      <c r="D118" s="4" t="s">
        <v>30</v>
      </c>
      <c r="E118" s="4">
        <v>8</v>
      </c>
      <c r="F118" s="5" t="s">
        <v>139</v>
      </c>
      <c r="G118" s="6" t="s">
        <v>449</v>
      </c>
      <c r="I118" s="4">
        <v>0</v>
      </c>
    </row>
    <row r="119" spans="1:9" x14ac:dyDescent="0.25">
      <c r="A119" s="2">
        <f>IF(BD_Versos[[#This Row],[Tema_Principal]]="","",ROW(BD_Versos[[#This Row],[Tema_Principal]])-1)</f>
        <v>118</v>
      </c>
      <c r="B119" s="3" t="s">
        <v>41</v>
      </c>
      <c r="C119" s="2" t="s">
        <v>155</v>
      </c>
      <c r="D119" s="4" t="s">
        <v>30</v>
      </c>
      <c r="E119" s="4">
        <v>10</v>
      </c>
      <c r="F119" s="5" t="s">
        <v>105</v>
      </c>
      <c r="G119" s="6" t="s">
        <v>450</v>
      </c>
      <c r="I119" s="4">
        <v>0</v>
      </c>
    </row>
    <row r="120" spans="1:9" ht="30" x14ac:dyDescent="0.25">
      <c r="A120" s="2">
        <f>IF(BD_Versos[[#This Row],[Tema_Principal]]="","",ROW(BD_Versos[[#This Row],[Tema_Principal]])-1)</f>
        <v>119</v>
      </c>
      <c r="B120" s="3" t="s">
        <v>41</v>
      </c>
      <c r="C120" s="2" t="s">
        <v>155</v>
      </c>
      <c r="D120" s="4" t="s">
        <v>39</v>
      </c>
      <c r="E120" s="4">
        <v>12</v>
      </c>
      <c r="F120" s="5" t="s">
        <v>38</v>
      </c>
      <c r="G120" s="6" t="s">
        <v>362</v>
      </c>
      <c r="I120" s="4">
        <v>0</v>
      </c>
    </row>
    <row r="121" spans="1:9" ht="30" x14ac:dyDescent="0.25">
      <c r="A121" s="2">
        <f>IF(BD_Versos[[#This Row],[Tema_Principal]]="","",ROW(BD_Versos[[#This Row],[Tema_Principal]])-1)</f>
        <v>120</v>
      </c>
      <c r="B121" s="3" t="s">
        <v>41</v>
      </c>
      <c r="C121" s="2" t="s">
        <v>155</v>
      </c>
      <c r="D121" s="4" t="s">
        <v>39</v>
      </c>
      <c r="E121" s="4">
        <v>20</v>
      </c>
      <c r="F121" s="5" t="s">
        <v>35</v>
      </c>
      <c r="G121" s="6" t="s">
        <v>451</v>
      </c>
      <c r="I121" s="4">
        <v>0</v>
      </c>
    </row>
    <row r="122" spans="1:9" ht="30" x14ac:dyDescent="0.25">
      <c r="A122" s="2">
        <f>IF(BD_Versos[[#This Row],[Tema_Principal]]="","",ROW(BD_Versos[[#This Row],[Tema_Principal]])-1)</f>
        <v>121</v>
      </c>
      <c r="B122" s="3" t="s">
        <v>41</v>
      </c>
      <c r="C122" s="2" t="s">
        <v>156</v>
      </c>
      <c r="D122" s="4" t="s">
        <v>43</v>
      </c>
      <c r="E122" s="4">
        <v>3</v>
      </c>
      <c r="F122" s="5" t="s">
        <v>32</v>
      </c>
      <c r="G122" s="6" t="s">
        <v>452</v>
      </c>
      <c r="H122" s="4" t="s">
        <v>157</v>
      </c>
      <c r="I122" s="4">
        <v>0</v>
      </c>
    </row>
    <row r="123" spans="1:9" ht="30" x14ac:dyDescent="0.25">
      <c r="A123" s="2">
        <f>IF(BD_Versos[[#This Row],[Tema_Principal]]="","",ROW(BD_Versos[[#This Row],[Tema_Principal]])-1)</f>
        <v>122</v>
      </c>
      <c r="B123" s="3" t="s">
        <v>41</v>
      </c>
      <c r="C123" s="2" t="s">
        <v>156</v>
      </c>
      <c r="D123" s="4" t="s">
        <v>47</v>
      </c>
      <c r="E123" s="4">
        <v>4</v>
      </c>
      <c r="F123" s="5" t="s">
        <v>31</v>
      </c>
      <c r="G123" s="6" t="s">
        <v>453</v>
      </c>
      <c r="H123" s="4" t="s">
        <v>158</v>
      </c>
      <c r="I123" s="4">
        <v>0</v>
      </c>
    </row>
    <row r="124" spans="1:9" ht="30" x14ac:dyDescent="0.25">
      <c r="A124" s="2">
        <f>IF(BD_Versos[[#This Row],[Tema_Principal]]="","",ROW(BD_Versos[[#This Row],[Tema_Principal]])-1)</f>
        <v>123</v>
      </c>
      <c r="B124" s="3" t="s">
        <v>41</v>
      </c>
      <c r="C124" s="2" t="s">
        <v>156</v>
      </c>
      <c r="D124" s="4" t="s">
        <v>27</v>
      </c>
      <c r="E124" s="4">
        <v>1</v>
      </c>
      <c r="F124" s="5" t="s">
        <v>110</v>
      </c>
      <c r="G124" s="6" t="s">
        <v>454</v>
      </c>
      <c r="I124" s="4">
        <v>0</v>
      </c>
    </row>
    <row r="125" spans="1:9" ht="45" x14ac:dyDescent="0.25">
      <c r="A125" s="2">
        <f>IF(BD_Versos[[#This Row],[Tema_Principal]]="","",ROW(BD_Versos[[#This Row],[Tema_Principal]])-1)</f>
        <v>124</v>
      </c>
      <c r="B125" s="3" t="s">
        <v>41</v>
      </c>
      <c r="C125" s="2" t="s">
        <v>156</v>
      </c>
      <c r="D125" s="4" t="s">
        <v>88</v>
      </c>
      <c r="E125" s="4">
        <v>8</v>
      </c>
      <c r="F125" s="5" t="s">
        <v>140</v>
      </c>
      <c r="G125" s="6" t="s">
        <v>434</v>
      </c>
      <c r="I125" s="4">
        <v>0</v>
      </c>
    </row>
    <row r="126" spans="1:9" x14ac:dyDescent="0.25">
      <c r="A126" s="2">
        <f>IF(BD_Versos[[#This Row],[Tema_Principal]]="","",ROW(BD_Versos[[#This Row],[Tema_Principal]])-1)</f>
        <v>125</v>
      </c>
      <c r="B126" s="3" t="s">
        <v>41</v>
      </c>
      <c r="C126" s="2" t="s">
        <v>156</v>
      </c>
      <c r="D126" s="4" t="s">
        <v>33</v>
      </c>
      <c r="E126" s="4">
        <v>2</v>
      </c>
      <c r="F126" s="5" t="s">
        <v>34</v>
      </c>
      <c r="G126" s="6" t="s">
        <v>358</v>
      </c>
      <c r="H126" s="4" t="s">
        <v>159</v>
      </c>
      <c r="I126" s="4">
        <v>0</v>
      </c>
    </row>
    <row r="127" spans="1:9" x14ac:dyDescent="0.25">
      <c r="A127" s="2">
        <f>IF(BD_Versos[[#This Row],[Tema_Principal]]="","",ROW(BD_Versos[[#This Row],[Tema_Principal]])-1)</f>
        <v>126</v>
      </c>
      <c r="B127" s="3" t="s">
        <v>41</v>
      </c>
      <c r="C127" s="2" t="s">
        <v>156</v>
      </c>
      <c r="D127" s="4" t="s">
        <v>33</v>
      </c>
      <c r="E127" s="4">
        <v>11</v>
      </c>
      <c r="F127" s="5" t="s">
        <v>44</v>
      </c>
      <c r="G127" s="6" t="s">
        <v>369</v>
      </c>
      <c r="H127" s="4" t="s">
        <v>160</v>
      </c>
      <c r="I127" s="4">
        <v>0</v>
      </c>
    </row>
    <row r="128" spans="1:9" ht="45" x14ac:dyDescent="0.25">
      <c r="A128" s="2">
        <f>IF(BD_Versos[[#This Row],[Tema_Principal]]="","",ROW(BD_Versos[[#This Row],[Tema_Principal]])-1)</f>
        <v>127</v>
      </c>
      <c r="B128" s="3" t="s">
        <v>41</v>
      </c>
      <c r="C128" s="2" t="s">
        <v>156</v>
      </c>
      <c r="D128" s="4" t="s">
        <v>39</v>
      </c>
      <c r="E128" s="4">
        <v>13</v>
      </c>
      <c r="F128" s="5" t="s">
        <v>44</v>
      </c>
      <c r="G128" s="6" t="s">
        <v>455</v>
      </c>
      <c r="I128" s="4">
        <v>0</v>
      </c>
    </row>
    <row r="129" spans="1:9" ht="45" x14ac:dyDescent="0.25">
      <c r="A129" s="2">
        <f>IF(BD_Versos[[#This Row],[Tema_Principal]]="","",ROW(BD_Versos[[#This Row],[Tema_Principal]])-1)</f>
        <v>128</v>
      </c>
      <c r="B129" s="3" t="s">
        <v>41</v>
      </c>
      <c r="C129" s="2" t="s">
        <v>156</v>
      </c>
      <c r="D129" s="4" t="s">
        <v>39</v>
      </c>
      <c r="E129" s="4">
        <v>19</v>
      </c>
      <c r="F129" s="5" t="s">
        <v>114</v>
      </c>
      <c r="G129" s="6" t="s">
        <v>456</v>
      </c>
      <c r="I129" s="4">
        <v>0</v>
      </c>
    </row>
    <row r="130" spans="1:9" ht="45" x14ac:dyDescent="0.25">
      <c r="A130" s="2">
        <f>IF(BD_Versos[[#This Row],[Tema_Principal]]="","",ROW(BD_Versos[[#This Row],[Tema_Principal]])-1)</f>
        <v>129</v>
      </c>
      <c r="B130" s="3" t="s">
        <v>41</v>
      </c>
      <c r="C130" s="2" t="s">
        <v>156</v>
      </c>
      <c r="D130" s="4" t="s">
        <v>39</v>
      </c>
      <c r="E130" s="4">
        <v>20</v>
      </c>
      <c r="F130" s="5" t="s">
        <v>22</v>
      </c>
      <c r="G130" s="6" t="s">
        <v>457</v>
      </c>
      <c r="I130" s="4">
        <v>0</v>
      </c>
    </row>
    <row r="131" spans="1:9" x14ac:dyDescent="0.25">
      <c r="A131" s="2">
        <f>IF(BD_Versos[[#This Row],[Tema_Principal]]="","",ROW(BD_Versos[[#This Row],[Tema_Principal]])-1)</f>
        <v>130</v>
      </c>
      <c r="B131" s="3" t="s">
        <v>41</v>
      </c>
      <c r="C131" s="2" t="s">
        <v>161</v>
      </c>
      <c r="D131" s="4" t="s">
        <v>55</v>
      </c>
      <c r="E131" s="4">
        <v>13</v>
      </c>
      <c r="F131" s="5" t="s">
        <v>115</v>
      </c>
      <c r="G131" s="6" t="s">
        <v>458</v>
      </c>
      <c r="I131" s="4">
        <v>0</v>
      </c>
    </row>
    <row r="132" spans="1:9" ht="30" x14ac:dyDescent="0.25">
      <c r="A132" s="2">
        <f>IF(BD_Versos[[#This Row],[Tema_Principal]]="","",ROW(BD_Versos[[#This Row],[Tema_Principal]])-1)</f>
        <v>131</v>
      </c>
      <c r="B132" s="3" t="s">
        <v>41</v>
      </c>
      <c r="C132" s="2" t="s">
        <v>161</v>
      </c>
      <c r="D132" s="4" t="s">
        <v>47</v>
      </c>
      <c r="E132" s="4">
        <v>4</v>
      </c>
      <c r="F132" s="5" t="s">
        <v>116</v>
      </c>
      <c r="G132" s="6" t="s">
        <v>459</v>
      </c>
      <c r="I132" s="4">
        <v>0</v>
      </c>
    </row>
    <row r="133" spans="1:9" x14ac:dyDescent="0.25">
      <c r="A133" s="2">
        <f>IF(BD_Versos[[#This Row],[Tema_Principal]]="","",ROW(BD_Versos[[#This Row],[Tema_Principal]])-1)</f>
        <v>132</v>
      </c>
      <c r="B133" s="3" t="s">
        <v>41</v>
      </c>
      <c r="C133" s="2" t="s">
        <v>161</v>
      </c>
      <c r="D133" s="4" t="s">
        <v>30</v>
      </c>
      <c r="E133" s="4">
        <v>4</v>
      </c>
      <c r="F133" s="5" t="s">
        <v>115</v>
      </c>
      <c r="G133" s="6" t="s">
        <v>460</v>
      </c>
      <c r="I133" s="4">
        <v>0</v>
      </c>
    </row>
    <row r="134" spans="1:9" x14ac:dyDescent="0.25">
      <c r="A134" s="2">
        <f>IF(BD_Versos[[#This Row],[Tema_Principal]]="","",ROW(BD_Versos[[#This Row],[Tema_Principal]])-1)</f>
        <v>133</v>
      </c>
      <c r="B134" s="3" t="s">
        <v>41</v>
      </c>
      <c r="C134" s="2" t="s">
        <v>161</v>
      </c>
      <c r="D134" s="4" t="s">
        <v>36</v>
      </c>
      <c r="E134" s="4">
        <v>4</v>
      </c>
      <c r="F134" s="5" t="s">
        <v>48</v>
      </c>
      <c r="G134" s="6" t="s">
        <v>461</v>
      </c>
      <c r="I134" s="4">
        <v>0</v>
      </c>
    </row>
    <row r="135" spans="1:9" x14ac:dyDescent="0.25">
      <c r="A135" s="2">
        <f>IF(BD_Versos[[#This Row],[Tema_Principal]]="","",ROW(BD_Versos[[#This Row],[Tema_Principal]])-1)</f>
        <v>134</v>
      </c>
      <c r="B135" s="3" t="s">
        <v>41</v>
      </c>
      <c r="C135" s="2" t="s">
        <v>161</v>
      </c>
      <c r="D135" s="4" t="s">
        <v>36</v>
      </c>
      <c r="E135" s="4">
        <v>6</v>
      </c>
      <c r="F135" s="5" t="s">
        <v>34</v>
      </c>
      <c r="G135" s="6" t="s">
        <v>360</v>
      </c>
      <c r="I135" s="4">
        <v>0</v>
      </c>
    </row>
    <row r="136" spans="1:9" x14ac:dyDescent="0.25">
      <c r="A136" s="2">
        <f>IF(BD_Versos[[#This Row],[Tema_Principal]]="","",ROW(BD_Versos[[#This Row],[Tema_Principal]])-1)</f>
        <v>135</v>
      </c>
      <c r="B136" s="3" t="s">
        <v>41</v>
      </c>
      <c r="C136" s="2" t="s">
        <v>161</v>
      </c>
      <c r="D136" s="4" t="s">
        <v>96</v>
      </c>
      <c r="E136" s="4">
        <v>4</v>
      </c>
      <c r="F136" s="5" t="s">
        <v>40</v>
      </c>
      <c r="G136" s="6" t="s">
        <v>462</v>
      </c>
      <c r="I136" s="4">
        <v>0</v>
      </c>
    </row>
    <row r="137" spans="1:9" ht="30" x14ac:dyDescent="0.25">
      <c r="A137" s="2">
        <f>IF(BD_Versos[[#This Row],[Tema_Principal]]="","",ROW(BD_Versos[[#This Row],[Tema_Principal]])-1)</f>
        <v>136</v>
      </c>
      <c r="B137" s="3" t="s">
        <v>41</v>
      </c>
      <c r="C137" s="2" t="s">
        <v>161</v>
      </c>
      <c r="D137" s="4" t="s">
        <v>97</v>
      </c>
      <c r="E137" s="4">
        <v>5</v>
      </c>
      <c r="F137" s="5" t="s">
        <v>115</v>
      </c>
      <c r="G137" s="6" t="s">
        <v>441</v>
      </c>
      <c r="I137" s="4">
        <v>0</v>
      </c>
    </row>
    <row r="138" spans="1:9" ht="30" x14ac:dyDescent="0.25">
      <c r="A138" s="2">
        <f>IF(BD_Versos[[#This Row],[Tema_Principal]]="","",ROW(BD_Versos[[#This Row],[Tema_Principal]])-1)</f>
        <v>137</v>
      </c>
      <c r="B138" s="3" t="s">
        <v>41</v>
      </c>
      <c r="C138" s="2" t="s">
        <v>161</v>
      </c>
      <c r="D138" s="4" t="s">
        <v>99</v>
      </c>
      <c r="E138" s="4">
        <v>5</v>
      </c>
      <c r="F138" s="5" t="s">
        <v>105</v>
      </c>
      <c r="G138" s="6" t="s">
        <v>463</v>
      </c>
      <c r="I138" s="4">
        <v>0</v>
      </c>
    </row>
    <row r="139" spans="1:9" x14ac:dyDescent="0.25">
      <c r="A139" s="2">
        <f>IF(BD_Versos[[#This Row],[Tema_Principal]]="","",ROW(BD_Versos[[#This Row],[Tema_Principal]])-1)</f>
        <v>138</v>
      </c>
      <c r="B139" s="3" t="s">
        <v>41</v>
      </c>
      <c r="C139" s="2" t="s">
        <v>162</v>
      </c>
      <c r="D139" s="4" t="s">
        <v>88</v>
      </c>
      <c r="E139" s="4">
        <v>12</v>
      </c>
      <c r="F139" s="5" t="s">
        <v>139</v>
      </c>
      <c r="G139" s="6" t="s">
        <v>464</v>
      </c>
      <c r="I139" s="4">
        <v>0</v>
      </c>
    </row>
    <row r="140" spans="1:9" x14ac:dyDescent="0.25">
      <c r="A140" s="2">
        <f>IF(BD_Versos[[#This Row],[Tema_Principal]]="","",ROW(BD_Versos[[#This Row],[Tema_Principal]])-1)</f>
        <v>139</v>
      </c>
      <c r="B140" s="3" t="s">
        <v>41</v>
      </c>
      <c r="C140" s="2" t="s">
        <v>162</v>
      </c>
      <c r="D140" s="4" t="s">
        <v>88</v>
      </c>
      <c r="E140" s="4">
        <v>14</v>
      </c>
      <c r="F140" s="5" t="s">
        <v>112</v>
      </c>
      <c r="G140" s="6" t="s">
        <v>381</v>
      </c>
      <c r="I140" s="4">
        <v>0</v>
      </c>
    </row>
    <row r="141" spans="1:9" x14ac:dyDescent="0.25">
      <c r="A141" s="2">
        <f>IF(BD_Versos[[#This Row],[Tema_Principal]]="","",ROW(BD_Versos[[#This Row],[Tema_Principal]])-1)</f>
        <v>140</v>
      </c>
      <c r="B141" s="3" t="s">
        <v>41</v>
      </c>
      <c r="C141" s="2" t="s">
        <v>162</v>
      </c>
      <c r="D141" s="4" t="s">
        <v>88</v>
      </c>
      <c r="E141" s="4">
        <v>16</v>
      </c>
      <c r="F141" s="5" t="s">
        <v>34</v>
      </c>
      <c r="G141" s="6" t="s">
        <v>465</v>
      </c>
      <c r="I141" s="4">
        <v>0</v>
      </c>
    </row>
    <row r="142" spans="1:9" ht="30" x14ac:dyDescent="0.25">
      <c r="A142" s="2">
        <f>IF(BD_Versos[[#This Row],[Tema_Principal]]="","",ROW(BD_Versos[[#This Row],[Tema_Principal]])-1)</f>
        <v>141</v>
      </c>
      <c r="B142" s="3" t="s">
        <v>306</v>
      </c>
      <c r="C142" s="2" t="s">
        <v>307</v>
      </c>
      <c r="D142" s="4" t="s">
        <v>287</v>
      </c>
      <c r="E142" s="4">
        <v>29</v>
      </c>
      <c r="F142" s="5" t="s">
        <v>116</v>
      </c>
      <c r="G142" s="6" t="s">
        <v>466</v>
      </c>
      <c r="H142" s="4" t="s">
        <v>308</v>
      </c>
      <c r="I142" s="4">
        <v>0</v>
      </c>
    </row>
    <row r="143" spans="1:9" ht="30" x14ac:dyDescent="0.25">
      <c r="A143" s="2">
        <f>IF(BD_Versos[[#This Row],[Tema_Principal]]="","",ROW(BD_Versos[[#This Row],[Tema_Principal]])-1)</f>
        <v>142</v>
      </c>
      <c r="B143" s="3" t="s">
        <v>306</v>
      </c>
      <c r="C143" s="2" t="s">
        <v>307</v>
      </c>
      <c r="D143" s="4" t="s">
        <v>287</v>
      </c>
      <c r="E143" s="4">
        <v>56</v>
      </c>
      <c r="F143" s="5" t="s">
        <v>116</v>
      </c>
      <c r="G143" s="6" t="s">
        <v>467</v>
      </c>
      <c r="H143" s="4" t="s">
        <v>308</v>
      </c>
      <c r="I143" s="4">
        <v>0</v>
      </c>
    </row>
    <row r="144" spans="1:9" x14ac:dyDescent="0.25">
      <c r="A144" s="2">
        <f>IF(BD_Versos[[#This Row],[Tema_Principal]]="","",ROW(BD_Versos[[#This Row],[Tema_Principal]])-1)</f>
        <v>143</v>
      </c>
      <c r="B144" s="3" t="s">
        <v>306</v>
      </c>
      <c r="C144" s="2" t="s">
        <v>307</v>
      </c>
      <c r="D144" s="4" t="s">
        <v>47</v>
      </c>
      <c r="E144" s="4">
        <v>13</v>
      </c>
      <c r="F144" s="5" t="s">
        <v>135</v>
      </c>
      <c r="G144" s="6" t="s">
        <v>418</v>
      </c>
      <c r="H144" s="4" t="s">
        <v>308</v>
      </c>
      <c r="I144" s="4">
        <v>0</v>
      </c>
    </row>
    <row r="145" spans="1:9" ht="30" x14ac:dyDescent="0.25">
      <c r="A145" s="2">
        <f>IF(BD_Versos[[#This Row],[Tema_Principal]]="","",ROW(BD_Versos[[#This Row],[Tema_Principal]])-1)</f>
        <v>144</v>
      </c>
      <c r="B145" s="3" t="s">
        <v>306</v>
      </c>
      <c r="C145" s="2" t="s">
        <v>307</v>
      </c>
      <c r="D145" s="4" t="s">
        <v>27</v>
      </c>
      <c r="E145" s="4">
        <v>13</v>
      </c>
      <c r="F145" s="5" t="s">
        <v>136</v>
      </c>
      <c r="G145" s="6" t="s">
        <v>468</v>
      </c>
      <c r="H145" s="4" t="s">
        <v>308</v>
      </c>
      <c r="I145" s="4">
        <v>0</v>
      </c>
    </row>
    <row r="146" spans="1:9" ht="30" x14ac:dyDescent="0.25">
      <c r="A146" s="2">
        <f>IF(BD_Versos[[#This Row],[Tema_Principal]]="","",ROW(BD_Versos[[#This Row],[Tema_Principal]])-1)</f>
        <v>145</v>
      </c>
      <c r="B146" s="3" t="s">
        <v>306</v>
      </c>
      <c r="C146" s="2" t="s">
        <v>307</v>
      </c>
      <c r="D146" s="4" t="s">
        <v>89</v>
      </c>
      <c r="E146" s="4">
        <v>11</v>
      </c>
      <c r="F146" s="5" t="s">
        <v>115</v>
      </c>
      <c r="G146" s="6" t="s">
        <v>469</v>
      </c>
      <c r="H146" s="4" t="s">
        <v>308</v>
      </c>
      <c r="I146" s="4">
        <v>0</v>
      </c>
    </row>
    <row r="147" spans="1:9" ht="30" x14ac:dyDescent="0.25">
      <c r="A147" s="2">
        <f>IF(BD_Versos[[#This Row],[Tema_Principal]]="","",ROW(BD_Versos[[#This Row],[Tema_Principal]])-1)</f>
        <v>146</v>
      </c>
      <c r="B147" s="3" t="s">
        <v>306</v>
      </c>
      <c r="C147" s="2" t="s">
        <v>307</v>
      </c>
      <c r="D147" s="4" t="s">
        <v>89</v>
      </c>
      <c r="E147" s="4">
        <v>13</v>
      </c>
      <c r="F147" s="5" t="s">
        <v>34</v>
      </c>
      <c r="G147" s="6" t="s">
        <v>470</v>
      </c>
      <c r="H147" s="4" t="s">
        <v>308</v>
      </c>
      <c r="I147" s="4">
        <v>0</v>
      </c>
    </row>
    <row r="148" spans="1:9" x14ac:dyDescent="0.25">
      <c r="A148" s="2">
        <f>IF(BD_Versos[[#This Row],[Tema_Principal]]="","",ROW(BD_Versos[[#This Row],[Tema_Principal]])-1)</f>
        <v>147</v>
      </c>
      <c r="B148" s="3" t="s">
        <v>306</v>
      </c>
      <c r="C148" s="2" t="s">
        <v>307</v>
      </c>
      <c r="D148" s="10" t="s">
        <v>92</v>
      </c>
      <c r="E148" s="4">
        <v>5</v>
      </c>
      <c r="F148" s="5" t="s">
        <v>31</v>
      </c>
      <c r="G148" s="6" t="s">
        <v>471</v>
      </c>
      <c r="H148" s="4" t="s">
        <v>308</v>
      </c>
      <c r="I148" s="4">
        <v>0</v>
      </c>
    </row>
    <row r="149" spans="1:9" ht="30" x14ac:dyDescent="0.25">
      <c r="A149" s="2">
        <f>IF(BD_Versos[[#This Row],[Tema_Principal]]="","",ROW(BD_Versos[[#This Row],[Tema_Principal]])-1)</f>
        <v>148</v>
      </c>
      <c r="B149" s="3" t="s">
        <v>288</v>
      </c>
      <c r="C149" s="2" t="s">
        <v>289</v>
      </c>
      <c r="D149" s="4" t="s">
        <v>291</v>
      </c>
      <c r="E149" s="4">
        <v>19</v>
      </c>
      <c r="F149" s="5" t="s">
        <v>44</v>
      </c>
      <c r="G149" s="6" t="s">
        <v>472</v>
      </c>
      <c r="I149" s="4">
        <v>0</v>
      </c>
    </row>
    <row r="150" spans="1:9" ht="45" x14ac:dyDescent="0.25">
      <c r="A150" s="2">
        <f>IF(BD_Versos[[#This Row],[Tema_Principal]]="","",ROW(BD_Versos[[#This Row],[Tema_Principal]])-1)</f>
        <v>149</v>
      </c>
      <c r="B150" s="3" t="s">
        <v>288</v>
      </c>
      <c r="C150" s="2" t="s">
        <v>289</v>
      </c>
      <c r="D150" s="4" t="s">
        <v>60</v>
      </c>
      <c r="E150" s="4">
        <v>19</v>
      </c>
      <c r="F150" s="5" t="s">
        <v>136</v>
      </c>
      <c r="G150" s="6" t="s">
        <v>473</v>
      </c>
      <c r="I150" s="4">
        <v>0</v>
      </c>
    </row>
    <row r="151" spans="1:9" ht="30" x14ac:dyDescent="0.25">
      <c r="A151" s="2">
        <f>IF(BD_Versos[[#This Row],[Tema_Principal]]="","",ROW(BD_Versos[[#This Row],[Tema_Principal]])-1)</f>
        <v>150</v>
      </c>
      <c r="B151" s="3" t="s">
        <v>288</v>
      </c>
      <c r="C151" s="2" t="s">
        <v>289</v>
      </c>
      <c r="D151" s="4" t="s">
        <v>292</v>
      </c>
      <c r="E151" s="4">
        <v>12</v>
      </c>
      <c r="F151" s="5" t="s">
        <v>119</v>
      </c>
      <c r="G151" s="6" t="s">
        <v>474</v>
      </c>
      <c r="I151" s="4">
        <v>0</v>
      </c>
    </row>
    <row r="152" spans="1:9" ht="30" x14ac:dyDescent="0.25">
      <c r="A152" s="2">
        <f>IF(BD_Versos[[#This Row],[Tema_Principal]]="","",ROW(BD_Versos[[#This Row],[Tema_Principal]])-1)</f>
        <v>151</v>
      </c>
      <c r="B152" s="3" t="s">
        <v>288</v>
      </c>
      <c r="C152" s="2" t="s">
        <v>289</v>
      </c>
      <c r="D152" s="4" t="s">
        <v>47</v>
      </c>
      <c r="E152" s="4">
        <v>11</v>
      </c>
      <c r="F152" s="5" t="s">
        <v>32</v>
      </c>
      <c r="G152" s="6" t="s">
        <v>475</v>
      </c>
      <c r="I152" s="4">
        <v>0</v>
      </c>
    </row>
    <row r="153" spans="1:9" x14ac:dyDescent="0.25">
      <c r="A153" s="2">
        <f>IF(BD_Versos[[#This Row],[Tema_Principal]]="","",ROW(BD_Versos[[#This Row],[Tema_Principal]])-1)</f>
        <v>152</v>
      </c>
      <c r="B153" s="3" t="s">
        <v>288</v>
      </c>
      <c r="C153" s="2" t="s">
        <v>289</v>
      </c>
      <c r="D153" s="4" t="s">
        <v>27</v>
      </c>
      <c r="E153" s="4">
        <v>7</v>
      </c>
      <c r="F153" s="5" t="s">
        <v>118</v>
      </c>
      <c r="G153" s="6" t="s">
        <v>476</v>
      </c>
      <c r="I153" s="4">
        <v>0</v>
      </c>
    </row>
    <row r="154" spans="1:9" ht="30" x14ac:dyDescent="0.25">
      <c r="A154" s="2">
        <f>IF(BD_Versos[[#This Row],[Tema_Principal]]="","",ROW(BD_Versos[[#This Row],[Tema_Principal]])-1)</f>
        <v>153</v>
      </c>
      <c r="B154" s="3" t="s">
        <v>288</v>
      </c>
      <c r="C154" s="2" t="s">
        <v>289</v>
      </c>
      <c r="D154" s="4" t="s">
        <v>27</v>
      </c>
      <c r="E154" s="4">
        <v>9</v>
      </c>
      <c r="F154" s="5" t="s">
        <v>135</v>
      </c>
      <c r="G154" s="6" t="s">
        <v>477</v>
      </c>
      <c r="I154" s="4">
        <v>0</v>
      </c>
    </row>
    <row r="155" spans="1:9" ht="45" x14ac:dyDescent="0.25">
      <c r="A155" s="2">
        <f>IF(BD_Versos[[#This Row],[Tema_Principal]]="","",ROW(BD_Versos[[#This Row],[Tema_Principal]])-1)</f>
        <v>154</v>
      </c>
      <c r="B155" s="3" t="s">
        <v>288</v>
      </c>
      <c r="C155" s="2" t="s">
        <v>289</v>
      </c>
      <c r="D155" s="4" t="s">
        <v>30</v>
      </c>
      <c r="E155" s="4">
        <v>7</v>
      </c>
      <c r="F155" s="5" t="s">
        <v>111</v>
      </c>
      <c r="G155" s="6" t="s">
        <v>478</v>
      </c>
      <c r="I155" s="4">
        <v>0</v>
      </c>
    </row>
    <row r="156" spans="1:9" ht="30" x14ac:dyDescent="0.25">
      <c r="A156" s="2">
        <f>IF(BD_Versos[[#This Row],[Tema_Principal]]="","",ROW(BD_Versos[[#This Row],[Tema_Principal]])-1)</f>
        <v>155</v>
      </c>
      <c r="B156" s="3" t="s">
        <v>288</v>
      </c>
      <c r="C156" s="2" t="s">
        <v>290</v>
      </c>
      <c r="D156" s="4" t="s">
        <v>291</v>
      </c>
      <c r="E156" s="4">
        <v>26</v>
      </c>
      <c r="F156" s="5" t="s">
        <v>44</v>
      </c>
      <c r="G156" s="6" t="s">
        <v>479</v>
      </c>
      <c r="H156" s="4" t="s">
        <v>302</v>
      </c>
      <c r="I156" s="4">
        <v>0</v>
      </c>
    </row>
    <row r="157" spans="1:9" ht="30" x14ac:dyDescent="0.25">
      <c r="A157" s="2">
        <f>IF(BD_Versos[[#This Row],[Tema_Principal]]="","",ROW(BD_Versos[[#This Row],[Tema_Principal]])-1)</f>
        <v>156</v>
      </c>
      <c r="B157" s="3" t="s">
        <v>288</v>
      </c>
      <c r="C157" s="2" t="s">
        <v>290</v>
      </c>
      <c r="D157" s="4" t="s">
        <v>293</v>
      </c>
      <c r="E157" s="4">
        <v>14</v>
      </c>
      <c r="F157" s="5" t="s">
        <v>111</v>
      </c>
      <c r="G157" s="6" t="s">
        <v>480</v>
      </c>
      <c r="H157" s="4" t="s">
        <v>302</v>
      </c>
      <c r="I157" s="4">
        <v>0</v>
      </c>
    </row>
    <row r="158" spans="1:9" ht="30" x14ac:dyDescent="0.25">
      <c r="A158" s="2">
        <f>IF(BD_Versos[[#This Row],[Tema_Principal]]="","",ROW(BD_Versos[[#This Row],[Tema_Principal]])-1)</f>
        <v>157</v>
      </c>
      <c r="B158" s="3" t="s">
        <v>288</v>
      </c>
      <c r="C158" s="2" t="s">
        <v>290</v>
      </c>
      <c r="D158" s="4" t="s">
        <v>55</v>
      </c>
      <c r="E158" s="4">
        <v>1</v>
      </c>
      <c r="F158" s="5" t="s">
        <v>294</v>
      </c>
      <c r="G158" s="6" t="s">
        <v>481</v>
      </c>
      <c r="H158" s="4" t="s">
        <v>302</v>
      </c>
      <c r="I158" s="4">
        <v>0</v>
      </c>
    </row>
    <row r="159" spans="1:9" ht="45" x14ac:dyDescent="0.25">
      <c r="A159" s="2">
        <f>IF(BD_Versos[[#This Row],[Tema_Principal]]="","",ROW(BD_Versos[[#This Row],[Tema_Principal]])-1)</f>
        <v>158</v>
      </c>
      <c r="B159" s="3" t="s">
        <v>288</v>
      </c>
      <c r="C159" s="2" t="s">
        <v>290</v>
      </c>
      <c r="D159" s="4" t="s">
        <v>55</v>
      </c>
      <c r="E159" s="4">
        <v>9</v>
      </c>
      <c r="F159" s="5" t="s">
        <v>295</v>
      </c>
      <c r="G159" s="6" t="s">
        <v>482</v>
      </c>
      <c r="H159" s="4" t="s">
        <v>302</v>
      </c>
      <c r="I159" s="4">
        <v>0</v>
      </c>
    </row>
    <row r="160" spans="1:9" ht="30" x14ac:dyDescent="0.25">
      <c r="A160" s="2">
        <f>IF(BD_Versos[[#This Row],[Tema_Principal]]="","",ROW(BD_Versos[[#This Row],[Tema_Principal]])-1)</f>
        <v>159</v>
      </c>
      <c r="B160" s="3" t="s">
        <v>288</v>
      </c>
      <c r="C160" s="2" t="s">
        <v>290</v>
      </c>
      <c r="D160" s="4" t="s">
        <v>55</v>
      </c>
      <c r="E160" s="4">
        <v>18</v>
      </c>
      <c r="F160" s="5" t="s">
        <v>134</v>
      </c>
      <c r="G160" s="6" t="s">
        <v>483</v>
      </c>
      <c r="H160" s="4" t="s">
        <v>302</v>
      </c>
      <c r="I160" s="4">
        <v>0</v>
      </c>
    </row>
    <row r="161" spans="1:9" ht="30" x14ac:dyDescent="0.25">
      <c r="A161" s="2">
        <f>IF(BD_Versos[[#This Row],[Tema_Principal]]="","",ROW(BD_Versos[[#This Row],[Tema_Principal]])-1)</f>
        <v>160</v>
      </c>
      <c r="B161" s="3" t="s">
        <v>288</v>
      </c>
      <c r="C161" s="2" t="s">
        <v>290</v>
      </c>
      <c r="D161" s="4" t="s">
        <v>55</v>
      </c>
      <c r="E161" s="4">
        <v>28</v>
      </c>
      <c r="F161" s="5" t="s">
        <v>296</v>
      </c>
      <c r="G161" s="6" t="s">
        <v>484</v>
      </c>
      <c r="H161" s="4" t="s">
        <v>302</v>
      </c>
      <c r="I161" s="4">
        <v>0</v>
      </c>
    </row>
    <row r="162" spans="1:9" ht="30" x14ac:dyDescent="0.25">
      <c r="A162" s="2">
        <f>IF(BD_Versos[[#This Row],[Tema_Principal]]="","",ROW(BD_Versos[[#This Row],[Tema_Principal]])-1)</f>
        <v>161</v>
      </c>
      <c r="B162" s="3" t="s">
        <v>288</v>
      </c>
      <c r="C162" s="2" t="s">
        <v>290</v>
      </c>
      <c r="D162" s="4" t="s">
        <v>55</v>
      </c>
      <c r="E162" s="4">
        <v>30</v>
      </c>
      <c r="F162" s="5" t="s">
        <v>297</v>
      </c>
      <c r="G162" s="6" t="s">
        <v>485</v>
      </c>
      <c r="H162" s="4" t="s">
        <v>302</v>
      </c>
      <c r="I162" s="4">
        <v>0</v>
      </c>
    </row>
    <row r="163" spans="1:9" ht="30" x14ac:dyDescent="0.25">
      <c r="A163" s="2">
        <f>IF(BD_Versos[[#This Row],[Tema_Principal]]="","",ROW(BD_Versos[[#This Row],[Tema_Principal]])-1)</f>
        <v>162</v>
      </c>
      <c r="B163" s="3" t="s">
        <v>288</v>
      </c>
      <c r="C163" s="2" t="s">
        <v>290</v>
      </c>
      <c r="D163" s="4" t="s">
        <v>57</v>
      </c>
      <c r="E163" s="4">
        <v>2</v>
      </c>
      <c r="F163" s="5" t="s">
        <v>114</v>
      </c>
      <c r="G163" s="6" t="s">
        <v>486</v>
      </c>
      <c r="H163" s="4" t="s">
        <v>302</v>
      </c>
      <c r="I163" s="4">
        <v>0</v>
      </c>
    </row>
    <row r="164" spans="1:9" ht="30" x14ac:dyDescent="0.25">
      <c r="A164" s="2">
        <f>IF(BD_Versos[[#This Row],[Tema_Principal]]="","",ROW(BD_Versos[[#This Row],[Tema_Principal]])-1)</f>
        <v>163</v>
      </c>
      <c r="B164" s="3" t="s">
        <v>288</v>
      </c>
      <c r="C164" s="2" t="s">
        <v>290</v>
      </c>
      <c r="D164" s="4" t="s">
        <v>62</v>
      </c>
      <c r="E164" s="4">
        <v>18</v>
      </c>
      <c r="F164" s="5" t="s">
        <v>107</v>
      </c>
      <c r="G164" s="6" t="s">
        <v>487</v>
      </c>
      <c r="H164" s="4" t="s">
        <v>302</v>
      </c>
      <c r="I164" s="4">
        <v>0</v>
      </c>
    </row>
    <row r="165" spans="1:9" ht="30" x14ac:dyDescent="0.25">
      <c r="A165" s="2">
        <f>IF(BD_Versos[[#This Row],[Tema_Principal]]="","",ROW(BD_Versos[[#This Row],[Tema_Principal]])-1)</f>
        <v>164</v>
      </c>
      <c r="B165" s="3" t="s">
        <v>288</v>
      </c>
      <c r="C165" s="2" t="s">
        <v>290</v>
      </c>
      <c r="D165" s="4" t="s">
        <v>62</v>
      </c>
      <c r="E165" s="4">
        <v>21</v>
      </c>
      <c r="F165" s="5" t="s">
        <v>38</v>
      </c>
      <c r="G165" s="6" t="s">
        <v>488</v>
      </c>
      <c r="H165" s="4" t="s">
        <v>302</v>
      </c>
      <c r="I165" s="4">
        <v>0</v>
      </c>
    </row>
    <row r="166" spans="1:9" x14ac:dyDescent="0.25">
      <c r="A166" s="2">
        <f>IF(BD_Versos[[#This Row],[Tema_Principal]]="","",ROW(BD_Versos[[#This Row],[Tema_Principal]])-1)</f>
        <v>165</v>
      </c>
      <c r="B166" s="3" t="s">
        <v>288</v>
      </c>
      <c r="C166" s="2" t="s">
        <v>290</v>
      </c>
      <c r="D166" s="4" t="s">
        <v>298</v>
      </c>
      <c r="E166" s="4">
        <v>33</v>
      </c>
      <c r="F166" s="5" t="s">
        <v>116</v>
      </c>
      <c r="G166" s="6" t="s">
        <v>489</v>
      </c>
      <c r="H166" s="4" t="s">
        <v>302</v>
      </c>
      <c r="I166" s="4">
        <v>0</v>
      </c>
    </row>
    <row r="167" spans="1:9" ht="30" x14ac:dyDescent="0.25">
      <c r="A167" s="2">
        <f>IF(BD_Versos[[#This Row],[Tema_Principal]]="","",ROW(BD_Versos[[#This Row],[Tema_Principal]])-1)</f>
        <v>166</v>
      </c>
      <c r="B167" s="3" t="s">
        <v>288</v>
      </c>
      <c r="C167" s="2" t="s">
        <v>290</v>
      </c>
      <c r="D167" s="4" t="s">
        <v>299</v>
      </c>
      <c r="E167" s="4">
        <v>9</v>
      </c>
      <c r="F167" s="5" t="s">
        <v>121</v>
      </c>
      <c r="G167" s="6" t="s">
        <v>490</v>
      </c>
      <c r="H167" s="4" t="s">
        <v>302</v>
      </c>
      <c r="I167" s="4">
        <v>0</v>
      </c>
    </row>
    <row r="168" spans="1:9" x14ac:dyDescent="0.25">
      <c r="A168" s="2">
        <f>IF(BD_Versos[[#This Row],[Tema_Principal]]="","",ROW(BD_Versos[[#This Row],[Tema_Principal]])-1)</f>
        <v>167</v>
      </c>
      <c r="B168" s="3" t="s">
        <v>288</v>
      </c>
      <c r="C168" s="2" t="s">
        <v>290</v>
      </c>
      <c r="D168" s="4" t="s">
        <v>68</v>
      </c>
      <c r="E168" s="4">
        <v>58</v>
      </c>
      <c r="F168" s="5" t="s">
        <v>119</v>
      </c>
      <c r="G168" s="6" t="s">
        <v>491</v>
      </c>
      <c r="H168" s="4" t="s">
        <v>302</v>
      </c>
      <c r="I168" s="4">
        <v>0</v>
      </c>
    </row>
    <row r="169" spans="1:9" x14ac:dyDescent="0.25">
      <c r="A169" s="2">
        <f>IF(BD_Versos[[#This Row],[Tema_Principal]]="","",ROW(BD_Versos[[#This Row],[Tema_Principal]])-1)</f>
        <v>168</v>
      </c>
      <c r="B169" s="3" t="s">
        <v>288</v>
      </c>
      <c r="C169" s="2" t="s">
        <v>290</v>
      </c>
      <c r="D169" s="4" t="s">
        <v>69</v>
      </c>
      <c r="E169" s="4">
        <v>5</v>
      </c>
      <c r="F169" s="5" t="s">
        <v>110</v>
      </c>
      <c r="G169" s="6" t="s">
        <v>492</v>
      </c>
      <c r="H169" s="4" t="s">
        <v>302</v>
      </c>
      <c r="I169" s="4">
        <v>0</v>
      </c>
    </row>
    <row r="170" spans="1:9" x14ac:dyDescent="0.25">
      <c r="A170" s="2">
        <f>IF(BD_Versos[[#This Row],[Tema_Principal]]="","",ROW(BD_Versos[[#This Row],[Tema_Principal]])-1)</f>
        <v>169</v>
      </c>
      <c r="B170" s="3" t="s">
        <v>288</v>
      </c>
      <c r="C170" s="2" t="s">
        <v>290</v>
      </c>
      <c r="D170" s="4" t="s">
        <v>69</v>
      </c>
      <c r="E170" s="4">
        <v>13</v>
      </c>
      <c r="F170" s="5" t="s">
        <v>25</v>
      </c>
      <c r="G170" s="6" t="s">
        <v>493</v>
      </c>
      <c r="H170" s="4" t="s">
        <v>302</v>
      </c>
      <c r="I170" s="4">
        <v>0</v>
      </c>
    </row>
    <row r="171" spans="1:9" ht="30" x14ac:dyDescent="0.25">
      <c r="A171" s="2">
        <f>IF(BD_Versos[[#This Row],[Tema_Principal]]="","",ROW(BD_Versos[[#This Row],[Tema_Principal]])-1)</f>
        <v>170</v>
      </c>
      <c r="B171" s="3" t="s">
        <v>288</v>
      </c>
      <c r="C171" s="2" t="s">
        <v>290</v>
      </c>
      <c r="D171" s="4" t="s">
        <v>287</v>
      </c>
      <c r="E171" s="4">
        <v>6</v>
      </c>
      <c r="F171" s="5" t="s">
        <v>116</v>
      </c>
      <c r="G171" s="6" t="s">
        <v>494</v>
      </c>
      <c r="H171" s="4" t="s">
        <v>302</v>
      </c>
      <c r="I171" s="4">
        <v>0</v>
      </c>
    </row>
    <row r="172" spans="1:9" ht="30" x14ac:dyDescent="0.25">
      <c r="A172" s="2">
        <f>IF(BD_Versos[[#This Row],[Tema_Principal]]="","",ROW(BD_Versos[[#This Row],[Tema_Principal]])-1)</f>
        <v>171</v>
      </c>
      <c r="B172" s="3" t="s">
        <v>288</v>
      </c>
      <c r="C172" s="2" t="s">
        <v>290</v>
      </c>
      <c r="D172" s="4" t="s">
        <v>287</v>
      </c>
      <c r="E172" s="4">
        <v>28</v>
      </c>
      <c r="F172" s="5" t="s">
        <v>107</v>
      </c>
      <c r="G172" s="6" t="s">
        <v>495</v>
      </c>
      <c r="H172" s="4" t="s">
        <v>302</v>
      </c>
      <c r="I172" s="4">
        <v>0</v>
      </c>
    </row>
    <row r="173" spans="1:9" x14ac:dyDescent="0.25">
      <c r="A173" s="2">
        <f>IF(BD_Versos[[#This Row],[Tema_Principal]]="","",ROW(BD_Versos[[#This Row],[Tema_Principal]])-1)</f>
        <v>172</v>
      </c>
      <c r="B173" s="3" t="s">
        <v>288</v>
      </c>
      <c r="C173" s="2" t="s">
        <v>290</v>
      </c>
      <c r="D173" s="4" t="s">
        <v>287</v>
      </c>
      <c r="E173" s="4">
        <v>35</v>
      </c>
      <c r="F173" s="5" t="s">
        <v>32</v>
      </c>
      <c r="G173" s="6" t="s">
        <v>496</v>
      </c>
      <c r="H173" s="4" t="s">
        <v>302</v>
      </c>
      <c r="I173" s="4">
        <v>0</v>
      </c>
    </row>
    <row r="174" spans="1:9" x14ac:dyDescent="0.25">
      <c r="A174" s="2">
        <f>IF(BD_Versos[[#This Row],[Tema_Principal]]="","",ROW(BD_Versos[[#This Row],[Tema_Principal]])-1)</f>
        <v>173</v>
      </c>
      <c r="B174" s="3" t="s">
        <v>288</v>
      </c>
      <c r="C174" s="2" t="s">
        <v>290</v>
      </c>
      <c r="D174" s="4" t="s">
        <v>287</v>
      </c>
      <c r="E174" s="4">
        <v>42</v>
      </c>
      <c r="F174" s="5" t="s">
        <v>105</v>
      </c>
      <c r="G174" s="6" t="s">
        <v>497</v>
      </c>
      <c r="H174" s="4" t="s">
        <v>302</v>
      </c>
      <c r="I174" s="4">
        <v>0</v>
      </c>
    </row>
    <row r="175" spans="1:9" ht="30" x14ac:dyDescent="0.25">
      <c r="A175" s="2">
        <f>IF(BD_Versos[[#This Row],[Tema_Principal]]="","",ROW(BD_Versos[[#This Row],[Tema_Principal]])-1)</f>
        <v>174</v>
      </c>
      <c r="B175" s="3" t="s">
        <v>288</v>
      </c>
      <c r="C175" s="2" t="s">
        <v>290</v>
      </c>
      <c r="D175" s="4" t="s">
        <v>287</v>
      </c>
      <c r="E175" s="4">
        <v>48</v>
      </c>
      <c r="F175" s="5" t="s">
        <v>115</v>
      </c>
      <c r="G175" s="6" t="s">
        <v>498</v>
      </c>
      <c r="H175" s="4" t="s">
        <v>302</v>
      </c>
      <c r="I175" s="4">
        <v>0</v>
      </c>
    </row>
    <row r="176" spans="1:9" ht="45" x14ac:dyDescent="0.25">
      <c r="A176" s="2">
        <f>IF(BD_Versos[[#This Row],[Tema_Principal]]="","",ROW(BD_Versos[[#This Row],[Tema_Principal]])-1)</f>
        <v>175</v>
      </c>
      <c r="B176" s="3" t="s">
        <v>288</v>
      </c>
      <c r="C176" s="2" t="s">
        <v>290</v>
      </c>
      <c r="D176" s="4" t="s">
        <v>287</v>
      </c>
      <c r="E176" s="4">
        <v>65</v>
      </c>
      <c r="F176" s="5" t="s">
        <v>107</v>
      </c>
      <c r="G176" s="6" t="s">
        <v>499</v>
      </c>
      <c r="H176" s="4" t="s">
        <v>302</v>
      </c>
      <c r="I176" s="4">
        <v>0</v>
      </c>
    </row>
    <row r="177" spans="1:9" ht="45" x14ac:dyDescent="0.25">
      <c r="A177" s="2">
        <f>IF(BD_Versos[[#This Row],[Tema_Principal]]="","",ROW(BD_Versos[[#This Row],[Tema_Principal]])-1)</f>
        <v>176</v>
      </c>
      <c r="B177" s="3" t="s">
        <v>288</v>
      </c>
      <c r="C177" s="2" t="s">
        <v>290</v>
      </c>
      <c r="D177" s="4" t="s">
        <v>287</v>
      </c>
      <c r="E177" s="4">
        <v>66</v>
      </c>
      <c r="F177" s="5" t="s">
        <v>119</v>
      </c>
      <c r="G177" s="6" t="s">
        <v>500</v>
      </c>
      <c r="H177" s="4" t="s">
        <v>302</v>
      </c>
      <c r="I177" s="4">
        <v>0</v>
      </c>
    </row>
    <row r="178" spans="1:9" x14ac:dyDescent="0.25">
      <c r="A178" s="2">
        <f>IF(BD_Versos[[#This Row],[Tema_Principal]]="","",ROW(BD_Versos[[#This Row],[Tema_Principal]])-1)</f>
        <v>177</v>
      </c>
      <c r="B178" s="3" t="s">
        <v>288</v>
      </c>
      <c r="C178" s="2" t="s">
        <v>290</v>
      </c>
      <c r="D178" s="4" t="s">
        <v>300</v>
      </c>
      <c r="E178" s="4">
        <v>5</v>
      </c>
      <c r="F178" s="5" t="s">
        <v>120</v>
      </c>
      <c r="G178" s="6" t="s">
        <v>501</v>
      </c>
      <c r="H178" s="4" t="s">
        <v>302</v>
      </c>
      <c r="I178" s="4">
        <v>0</v>
      </c>
    </row>
    <row r="179" spans="1:9" ht="30" x14ac:dyDescent="0.25">
      <c r="A179" s="2">
        <f>IF(BD_Versos[[#This Row],[Tema_Principal]]="","",ROW(BD_Versos[[#This Row],[Tema_Principal]])-1)</f>
        <v>178</v>
      </c>
      <c r="B179" s="3" t="s">
        <v>288</v>
      </c>
      <c r="C179" s="2" t="s">
        <v>290</v>
      </c>
      <c r="D179" s="4" t="s">
        <v>300</v>
      </c>
      <c r="E179" s="4">
        <v>6</v>
      </c>
      <c r="F179" s="5" t="s">
        <v>116</v>
      </c>
      <c r="G179" s="6" t="s">
        <v>502</v>
      </c>
      <c r="H179" s="4" t="s">
        <v>302</v>
      </c>
      <c r="I179" s="4">
        <v>0</v>
      </c>
    </row>
    <row r="180" spans="1:9" ht="30" x14ac:dyDescent="0.25">
      <c r="A180" s="2">
        <f>IF(BD_Versos[[#This Row],[Tema_Principal]]="","",ROW(BD_Versos[[#This Row],[Tema_Principal]])-1)</f>
        <v>179</v>
      </c>
      <c r="B180" s="3" t="s">
        <v>288</v>
      </c>
      <c r="C180" s="2" t="s">
        <v>290</v>
      </c>
      <c r="D180" s="4" t="s">
        <v>300</v>
      </c>
      <c r="E180" s="4">
        <v>6</v>
      </c>
      <c r="F180" s="5" t="s">
        <v>134</v>
      </c>
      <c r="G180" s="6" t="s">
        <v>503</v>
      </c>
      <c r="H180" s="4" t="s">
        <v>302</v>
      </c>
      <c r="I180" s="4">
        <v>0</v>
      </c>
    </row>
    <row r="181" spans="1:9" ht="30" x14ac:dyDescent="0.25">
      <c r="A181" s="2">
        <f>IF(BD_Versos[[#This Row],[Tema_Principal]]="","",ROW(BD_Versos[[#This Row],[Tema_Principal]])-1)</f>
        <v>180</v>
      </c>
      <c r="B181" s="3" t="s">
        <v>288</v>
      </c>
      <c r="C181" s="2" t="s">
        <v>290</v>
      </c>
      <c r="D181" s="4" t="s">
        <v>300</v>
      </c>
      <c r="E181" s="4">
        <v>7</v>
      </c>
      <c r="F181" s="5" t="s">
        <v>110</v>
      </c>
      <c r="G181" s="6" t="s">
        <v>504</v>
      </c>
      <c r="H181" s="4" t="s">
        <v>302</v>
      </c>
      <c r="I181" s="4">
        <v>0</v>
      </c>
    </row>
    <row r="182" spans="1:9" ht="45" x14ac:dyDescent="0.25">
      <c r="A182" s="2">
        <f>IF(BD_Versos[[#This Row],[Tema_Principal]]="","",ROW(BD_Versos[[#This Row],[Tema_Principal]])-1)</f>
        <v>181</v>
      </c>
      <c r="B182" s="3" t="s">
        <v>288</v>
      </c>
      <c r="C182" s="2" t="s">
        <v>290</v>
      </c>
      <c r="D182" s="4" t="s">
        <v>300</v>
      </c>
      <c r="E182" s="4">
        <v>13</v>
      </c>
      <c r="F182" s="5" t="s">
        <v>34</v>
      </c>
      <c r="G182" s="6" t="s">
        <v>505</v>
      </c>
      <c r="H182" s="4" t="s">
        <v>302</v>
      </c>
      <c r="I182" s="4">
        <v>0</v>
      </c>
    </row>
    <row r="183" spans="1:9" ht="30" x14ac:dyDescent="0.25">
      <c r="A183" s="2">
        <f>IF(BD_Versos[[#This Row],[Tema_Principal]]="","",ROW(BD_Versos[[#This Row],[Tema_Principal]])-1)</f>
        <v>182</v>
      </c>
      <c r="B183" s="3" t="s">
        <v>288</v>
      </c>
      <c r="C183" s="2" t="s">
        <v>290</v>
      </c>
      <c r="D183" s="4" t="s">
        <v>300</v>
      </c>
      <c r="E183" s="4">
        <v>17</v>
      </c>
      <c r="F183" s="5" t="s">
        <v>295</v>
      </c>
      <c r="G183" s="6" t="s">
        <v>506</v>
      </c>
      <c r="H183" s="4" t="s">
        <v>302</v>
      </c>
      <c r="I183" s="4">
        <v>0</v>
      </c>
    </row>
    <row r="184" spans="1:9" ht="45" x14ac:dyDescent="0.25">
      <c r="A184" s="2">
        <f>IF(BD_Versos[[#This Row],[Tema_Principal]]="","",ROW(BD_Versos[[#This Row],[Tema_Principal]])-1)</f>
        <v>183</v>
      </c>
      <c r="B184" s="3" t="s">
        <v>288</v>
      </c>
      <c r="C184" s="2" t="s">
        <v>290</v>
      </c>
      <c r="D184" s="4" t="s">
        <v>300</v>
      </c>
      <c r="E184" s="4">
        <v>17</v>
      </c>
      <c r="F184" s="5" t="s">
        <v>109</v>
      </c>
      <c r="G184" s="6" t="s">
        <v>507</v>
      </c>
      <c r="H184" s="4" t="s">
        <v>302</v>
      </c>
      <c r="I184" s="4">
        <v>0</v>
      </c>
    </row>
    <row r="185" spans="1:9" ht="30" x14ac:dyDescent="0.25">
      <c r="A185" s="2">
        <f>IF(BD_Versos[[#This Row],[Tema_Principal]]="","",ROW(BD_Versos[[#This Row],[Tema_Principal]])-1)</f>
        <v>184</v>
      </c>
      <c r="B185" s="3" t="s">
        <v>288</v>
      </c>
      <c r="C185" s="2" t="s">
        <v>290</v>
      </c>
      <c r="D185" s="4" t="s">
        <v>300</v>
      </c>
      <c r="E185" s="4">
        <v>22</v>
      </c>
      <c r="F185" s="5" t="s">
        <v>120</v>
      </c>
      <c r="G185" s="6" t="s">
        <v>508</v>
      </c>
      <c r="H185" s="4" t="s">
        <v>302</v>
      </c>
      <c r="I185" s="4">
        <v>0</v>
      </c>
    </row>
    <row r="186" spans="1:9" ht="30" x14ac:dyDescent="0.25">
      <c r="A186" s="2">
        <f>IF(BD_Versos[[#This Row],[Tema_Principal]]="","",ROW(BD_Versos[[#This Row],[Tema_Principal]])-1)</f>
        <v>185</v>
      </c>
      <c r="B186" s="3" t="s">
        <v>288</v>
      </c>
      <c r="C186" s="2" t="s">
        <v>290</v>
      </c>
      <c r="D186" s="4" t="s">
        <v>300</v>
      </c>
      <c r="E186" s="4">
        <v>25</v>
      </c>
      <c r="F186" s="5" t="s">
        <v>35</v>
      </c>
      <c r="G186" s="6" t="s">
        <v>509</v>
      </c>
      <c r="H186" s="4" t="s">
        <v>302</v>
      </c>
      <c r="I186" s="4">
        <v>0</v>
      </c>
    </row>
    <row r="187" spans="1:9" ht="30" x14ac:dyDescent="0.25">
      <c r="A187" s="2">
        <f>IF(BD_Versos[[#This Row],[Tema_Principal]]="","",ROW(BD_Versos[[#This Row],[Tema_Principal]])-1)</f>
        <v>186</v>
      </c>
      <c r="B187" s="3" t="s">
        <v>288</v>
      </c>
      <c r="C187" s="2" t="s">
        <v>290</v>
      </c>
      <c r="D187" s="4" t="s">
        <v>300</v>
      </c>
      <c r="E187" s="4">
        <v>26</v>
      </c>
      <c r="F187" s="5" t="s">
        <v>32</v>
      </c>
      <c r="G187" s="6" t="s">
        <v>510</v>
      </c>
      <c r="H187" s="4" t="s">
        <v>302</v>
      </c>
      <c r="I187" s="4">
        <v>0</v>
      </c>
    </row>
    <row r="188" spans="1:9" ht="30" x14ac:dyDescent="0.25">
      <c r="A188" s="2">
        <f>IF(BD_Versos[[#This Row],[Tema_Principal]]="","",ROW(BD_Versos[[#This Row],[Tema_Principal]])-1)</f>
        <v>187</v>
      </c>
      <c r="B188" s="3" t="s">
        <v>288</v>
      </c>
      <c r="C188" s="2" t="s">
        <v>290</v>
      </c>
      <c r="D188" s="4" t="s">
        <v>300</v>
      </c>
      <c r="E188" s="4">
        <v>29</v>
      </c>
      <c r="F188" s="5" t="s">
        <v>134</v>
      </c>
      <c r="G188" s="6" t="s">
        <v>511</v>
      </c>
      <c r="H188" s="4" t="s">
        <v>302</v>
      </c>
      <c r="I188" s="4">
        <v>0</v>
      </c>
    </row>
    <row r="189" spans="1:9" ht="45" x14ac:dyDescent="0.25">
      <c r="A189" s="2">
        <f>IF(BD_Versos[[#This Row],[Tema_Principal]]="","",ROW(BD_Versos[[#This Row],[Tema_Principal]])-1)</f>
        <v>188</v>
      </c>
      <c r="B189" s="3" t="s">
        <v>288</v>
      </c>
      <c r="C189" s="2" t="s">
        <v>290</v>
      </c>
      <c r="D189" s="4" t="s">
        <v>300</v>
      </c>
      <c r="E189" s="4">
        <v>35</v>
      </c>
      <c r="F189" s="5" t="s">
        <v>44</v>
      </c>
      <c r="G189" s="6" t="s">
        <v>512</v>
      </c>
      <c r="H189" s="4" t="s">
        <v>302</v>
      </c>
      <c r="I189" s="4">
        <v>0</v>
      </c>
    </row>
    <row r="190" spans="1:9" ht="30" x14ac:dyDescent="0.25">
      <c r="A190" s="2">
        <f>IF(BD_Versos[[#This Row],[Tema_Principal]]="","",ROW(BD_Versos[[#This Row],[Tema_Principal]])-1)</f>
        <v>189</v>
      </c>
      <c r="B190" s="3" t="s">
        <v>288</v>
      </c>
      <c r="C190" s="2" t="s">
        <v>290</v>
      </c>
      <c r="D190" s="4" t="s">
        <v>300</v>
      </c>
      <c r="E190" s="4">
        <v>35</v>
      </c>
      <c r="F190" s="5" t="s">
        <v>121</v>
      </c>
      <c r="G190" s="6" t="s">
        <v>513</v>
      </c>
      <c r="H190" s="4" t="s">
        <v>302</v>
      </c>
      <c r="I190" s="4">
        <v>0</v>
      </c>
    </row>
    <row r="191" spans="1:9" ht="45" x14ac:dyDescent="0.25">
      <c r="A191" s="2">
        <f>IF(BD_Versos[[#This Row],[Tema_Principal]]="","",ROW(BD_Versos[[#This Row],[Tema_Principal]])-1)</f>
        <v>190</v>
      </c>
      <c r="B191" s="3" t="s">
        <v>288</v>
      </c>
      <c r="C191" s="2" t="s">
        <v>290</v>
      </c>
      <c r="D191" s="4" t="s">
        <v>300</v>
      </c>
      <c r="E191" s="4">
        <v>36</v>
      </c>
      <c r="F191" s="5" t="s">
        <v>139</v>
      </c>
      <c r="G191" s="6" t="s">
        <v>514</v>
      </c>
      <c r="H191" s="4" t="s">
        <v>302</v>
      </c>
      <c r="I191" s="4">
        <v>0</v>
      </c>
    </row>
    <row r="192" spans="1:9" ht="30" x14ac:dyDescent="0.25">
      <c r="A192" s="2">
        <f>IF(BD_Versos[[#This Row],[Tema_Principal]]="","",ROW(BD_Versos[[#This Row],[Tema_Principal]])-1)</f>
        <v>191</v>
      </c>
      <c r="B192" s="3" t="s">
        <v>288</v>
      </c>
      <c r="C192" s="2" t="s">
        <v>290</v>
      </c>
      <c r="D192" s="4" t="s">
        <v>300</v>
      </c>
      <c r="E192" s="4">
        <v>44</v>
      </c>
      <c r="F192" s="5" t="s">
        <v>32</v>
      </c>
      <c r="G192" s="6" t="s">
        <v>515</v>
      </c>
      <c r="H192" s="4" t="s">
        <v>302</v>
      </c>
      <c r="I192" s="4">
        <v>0</v>
      </c>
    </row>
    <row r="193" spans="1:9" ht="30" x14ac:dyDescent="0.25">
      <c r="A193" s="2">
        <f>IF(BD_Versos[[#This Row],[Tema_Principal]]="","",ROW(BD_Versos[[#This Row],[Tema_Principal]])-1)</f>
        <v>192</v>
      </c>
      <c r="B193" s="3" t="s">
        <v>288</v>
      </c>
      <c r="C193" s="2" t="s">
        <v>290</v>
      </c>
      <c r="D193" s="4" t="s">
        <v>75</v>
      </c>
      <c r="E193" s="4">
        <v>3</v>
      </c>
      <c r="F193" s="5" t="s">
        <v>40</v>
      </c>
      <c r="G193" s="6" t="s">
        <v>516</v>
      </c>
      <c r="H193" s="4" t="s">
        <v>302</v>
      </c>
      <c r="I193" s="4">
        <v>0</v>
      </c>
    </row>
    <row r="194" spans="1:9" ht="30" x14ac:dyDescent="0.25">
      <c r="A194" s="2">
        <f>IF(BD_Versos[[#This Row],[Tema_Principal]]="","",ROW(BD_Versos[[#This Row],[Tema_Principal]])-1)</f>
        <v>193</v>
      </c>
      <c r="B194" s="3" t="s">
        <v>288</v>
      </c>
      <c r="C194" s="2" t="s">
        <v>290</v>
      </c>
      <c r="D194" s="4" t="s">
        <v>75</v>
      </c>
      <c r="E194" s="4">
        <v>12</v>
      </c>
      <c r="F194" s="5" t="s">
        <v>46</v>
      </c>
      <c r="G194" s="6" t="s">
        <v>517</v>
      </c>
      <c r="H194" s="4" t="s">
        <v>302</v>
      </c>
      <c r="I194" s="4">
        <v>0</v>
      </c>
    </row>
    <row r="195" spans="1:9" ht="45" x14ac:dyDescent="0.25">
      <c r="A195" s="2">
        <f>IF(BD_Versos[[#This Row],[Tema_Principal]]="","",ROW(BD_Versos[[#This Row],[Tema_Principal]])-1)</f>
        <v>194</v>
      </c>
      <c r="B195" s="3" t="s">
        <v>288</v>
      </c>
      <c r="C195" s="2" t="s">
        <v>290</v>
      </c>
      <c r="D195" s="4" t="s">
        <v>75</v>
      </c>
      <c r="E195" s="4">
        <v>20</v>
      </c>
      <c r="F195" s="5" t="s">
        <v>115</v>
      </c>
      <c r="G195" s="6" t="s">
        <v>518</v>
      </c>
      <c r="H195" s="4" t="s">
        <v>302</v>
      </c>
      <c r="I195" s="4">
        <v>0</v>
      </c>
    </row>
    <row r="196" spans="1:9" ht="30" x14ac:dyDescent="0.25">
      <c r="A196" s="2">
        <f>IF(BD_Versos[[#This Row],[Tema_Principal]]="","",ROW(BD_Versos[[#This Row],[Tema_Principal]])-1)</f>
        <v>195</v>
      </c>
      <c r="B196" s="3" t="s">
        <v>288</v>
      </c>
      <c r="C196" s="2" t="s">
        <v>290</v>
      </c>
      <c r="D196" s="4" t="s">
        <v>55</v>
      </c>
      <c r="E196" s="4">
        <v>9</v>
      </c>
      <c r="F196" s="5" t="s">
        <v>31</v>
      </c>
      <c r="G196" s="6" t="s">
        <v>519</v>
      </c>
      <c r="H196" s="4" t="s">
        <v>302</v>
      </c>
      <c r="I196" s="4">
        <v>0</v>
      </c>
    </row>
    <row r="197" spans="1:9" ht="45" x14ac:dyDescent="0.25">
      <c r="A197" s="2">
        <f>IF(BD_Versos[[#This Row],[Tema_Principal]]="","",ROW(BD_Versos[[#This Row],[Tema_Principal]])-1)</f>
        <v>196</v>
      </c>
      <c r="B197" s="3" t="s">
        <v>288</v>
      </c>
      <c r="C197" s="2" t="s">
        <v>290</v>
      </c>
      <c r="D197" s="4" t="s">
        <v>132</v>
      </c>
      <c r="E197" s="4">
        <v>1</v>
      </c>
      <c r="F197" s="5" t="s">
        <v>119</v>
      </c>
      <c r="G197" s="6" t="s">
        <v>520</v>
      </c>
      <c r="H197" s="4" t="s">
        <v>302</v>
      </c>
      <c r="I197" s="4">
        <v>0</v>
      </c>
    </row>
    <row r="198" spans="1:9" x14ac:dyDescent="0.25">
      <c r="A198" s="2">
        <f>IF(BD_Versos[[#This Row],[Tema_Principal]]="","",ROW(BD_Versos[[#This Row],[Tema_Principal]])-1)</f>
        <v>197</v>
      </c>
      <c r="B198" s="3" t="s">
        <v>288</v>
      </c>
      <c r="C198" s="2" t="s">
        <v>290</v>
      </c>
      <c r="D198" s="4" t="s">
        <v>132</v>
      </c>
      <c r="E198" s="4">
        <v>7</v>
      </c>
      <c r="F198" s="5" t="s">
        <v>34</v>
      </c>
      <c r="G198" s="6" t="s">
        <v>521</v>
      </c>
      <c r="H198" s="4" t="s">
        <v>302</v>
      </c>
      <c r="I198" s="4">
        <v>0</v>
      </c>
    </row>
    <row r="199" spans="1:9" ht="45" x14ac:dyDescent="0.25">
      <c r="A199" s="2">
        <f>IF(BD_Versos[[#This Row],[Tema_Principal]]="","",ROW(BD_Versos[[#This Row],[Tema_Principal]])-1)</f>
        <v>198</v>
      </c>
      <c r="B199" s="3" t="s">
        <v>288</v>
      </c>
      <c r="C199" s="2" t="s">
        <v>290</v>
      </c>
      <c r="D199" s="4" t="s">
        <v>303</v>
      </c>
      <c r="E199" s="4">
        <v>2</v>
      </c>
      <c r="F199" s="5" t="s">
        <v>46</v>
      </c>
      <c r="G199" s="6" t="s">
        <v>522</v>
      </c>
      <c r="H199" s="4" t="s">
        <v>302</v>
      </c>
      <c r="I199" s="4">
        <v>0</v>
      </c>
    </row>
    <row r="200" spans="1:9" x14ac:dyDescent="0.25">
      <c r="A200" s="2">
        <f>IF(BD_Versos[[#This Row],[Tema_Principal]]="","",ROW(BD_Versos[[#This Row],[Tema_Principal]])-1)</f>
        <v>199</v>
      </c>
      <c r="B200" s="3" t="s">
        <v>288</v>
      </c>
      <c r="C200" s="2" t="s">
        <v>290</v>
      </c>
      <c r="D200" s="4" t="s">
        <v>47</v>
      </c>
      <c r="E200" s="4">
        <v>13</v>
      </c>
      <c r="F200" s="5" t="s">
        <v>110</v>
      </c>
      <c r="G200" s="6" t="s">
        <v>523</v>
      </c>
      <c r="H200" s="4" t="s">
        <v>302</v>
      </c>
      <c r="I200" s="4">
        <v>0</v>
      </c>
    </row>
    <row r="201" spans="1:9" ht="45" x14ac:dyDescent="0.25">
      <c r="A201" s="2">
        <f>IF(BD_Versos[[#This Row],[Tema_Principal]]="","",ROW(BD_Versos[[#This Row],[Tema_Principal]])-1)</f>
        <v>200</v>
      </c>
      <c r="B201" s="3" t="s">
        <v>288</v>
      </c>
      <c r="C201" s="2" t="s">
        <v>290</v>
      </c>
      <c r="D201" s="4" t="s">
        <v>47</v>
      </c>
      <c r="E201" s="4">
        <v>13</v>
      </c>
      <c r="F201" s="5" t="s">
        <v>28</v>
      </c>
      <c r="G201" s="6" t="s">
        <v>524</v>
      </c>
      <c r="H201" s="4" t="s">
        <v>302</v>
      </c>
      <c r="I201" s="4">
        <v>0</v>
      </c>
    </row>
    <row r="202" spans="1:9" ht="30" x14ac:dyDescent="0.25">
      <c r="A202" s="2">
        <f>IF(BD_Versos[[#This Row],[Tema_Principal]]="","",ROW(BD_Versos[[#This Row],[Tema_Principal]])-1)</f>
        <v>201</v>
      </c>
      <c r="B202" s="3" t="s">
        <v>288</v>
      </c>
      <c r="C202" s="2" t="s">
        <v>290</v>
      </c>
      <c r="D202" s="4" t="s">
        <v>27</v>
      </c>
      <c r="E202" s="4">
        <v>6</v>
      </c>
      <c r="F202" s="5" t="s">
        <v>34</v>
      </c>
      <c r="G202" s="6" t="s">
        <v>525</v>
      </c>
      <c r="H202" s="4" t="s">
        <v>302</v>
      </c>
      <c r="I202" s="4">
        <v>0</v>
      </c>
    </row>
    <row r="203" spans="1:9" x14ac:dyDescent="0.25">
      <c r="A203" s="2">
        <f>IF(BD_Versos[[#This Row],[Tema_Principal]]="","",ROW(BD_Versos[[#This Row],[Tema_Principal]])-1)</f>
        <v>202</v>
      </c>
      <c r="B203" s="3" t="s">
        <v>288</v>
      </c>
      <c r="C203" s="2" t="s">
        <v>290</v>
      </c>
      <c r="D203" s="4" t="s">
        <v>27</v>
      </c>
      <c r="E203" s="4">
        <v>8</v>
      </c>
      <c r="F203" s="5" t="s">
        <v>105</v>
      </c>
      <c r="G203" s="6" t="s">
        <v>526</v>
      </c>
      <c r="H203" s="4" t="s">
        <v>302</v>
      </c>
      <c r="I203" s="4">
        <v>0</v>
      </c>
    </row>
    <row r="204" spans="1:9" x14ac:dyDescent="0.25">
      <c r="A204" s="2">
        <f>IF(BD_Versos[[#This Row],[Tema_Principal]]="","",ROW(BD_Versos[[#This Row],[Tema_Principal]])-1)</f>
        <v>203</v>
      </c>
      <c r="B204" s="3" t="s">
        <v>288</v>
      </c>
      <c r="C204" s="2" t="s">
        <v>290</v>
      </c>
      <c r="D204" s="4" t="s">
        <v>88</v>
      </c>
      <c r="E204" s="4">
        <v>8</v>
      </c>
      <c r="F204" s="5" t="s">
        <v>294</v>
      </c>
      <c r="G204" s="6" t="s">
        <v>527</v>
      </c>
      <c r="H204" s="4" t="s">
        <v>302</v>
      </c>
      <c r="I204" s="4">
        <v>0</v>
      </c>
    </row>
    <row r="205" spans="1:9" x14ac:dyDescent="0.25">
      <c r="A205" s="2">
        <f>IF(BD_Versos[[#This Row],[Tema_Principal]]="","",ROW(BD_Versos[[#This Row],[Tema_Principal]])-1)</f>
        <v>204</v>
      </c>
      <c r="B205" s="3" t="s">
        <v>288</v>
      </c>
      <c r="C205" s="2" t="s">
        <v>290</v>
      </c>
      <c r="D205" s="4" t="s">
        <v>88</v>
      </c>
      <c r="E205" s="4">
        <v>8</v>
      </c>
      <c r="F205" s="5" t="s">
        <v>304</v>
      </c>
      <c r="G205" s="6" t="s">
        <v>528</v>
      </c>
      <c r="H205" s="4" t="s">
        <v>302</v>
      </c>
      <c r="I205" s="4">
        <v>0</v>
      </c>
    </row>
    <row r="206" spans="1:9" ht="30" x14ac:dyDescent="0.25">
      <c r="A206" s="2">
        <f>IF(BD_Versos[[#This Row],[Tema_Principal]]="","",ROW(BD_Versos[[#This Row],[Tema_Principal]])-1)</f>
        <v>205</v>
      </c>
      <c r="B206" s="3" t="s">
        <v>288</v>
      </c>
      <c r="C206" s="2" t="s">
        <v>290</v>
      </c>
      <c r="D206" s="4" t="s">
        <v>88</v>
      </c>
      <c r="E206" s="4">
        <v>12</v>
      </c>
      <c r="F206" s="5" t="s">
        <v>108</v>
      </c>
      <c r="G206" s="6" t="s">
        <v>529</v>
      </c>
      <c r="H206" s="4" t="s">
        <v>302</v>
      </c>
      <c r="I206" s="4">
        <v>0</v>
      </c>
    </row>
    <row r="207" spans="1:9" ht="30" x14ac:dyDescent="0.25">
      <c r="A207" s="2">
        <f>IF(BD_Versos[[#This Row],[Tema_Principal]]="","",ROW(BD_Versos[[#This Row],[Tema_Principal]])-1)</f>
        <v>206</v>
      </c>
      <c r="B207" s="3" t="s">
        <v>288</v>
      </c>
      <c r="C207" s="2" t="s">
        <v>290</v>
      </c>
      <c r="D207" s="4" t="s">
        <v>10</v>
      </c>
      <c r="E207" s="4">
        <v>3</v>
      </c>
      <c r="F207" s="5" t="s">
        <v>295</v>
      </c>
      <c r="G207" s="6" t="s">
        <v>530</v>
      </c>
      <c r="H207" s="4" t="s">
        <v>302</v>
      </c>
      <c r="I207" s="4">
        <v>0</v>
      </c>
    </row>
    <row r="208" spans="1:9" x14ac:dyDescent="0.25">
      <c r="A208" s="2">
        <f>IF(BD_Versos[[#This Row],[Tema_Principal]]="","",ROW(BD_Versos[[#This Row],[Tema_Principal]])-1)</f>
        <v>207</v>
      </c>
      <c r="B208" s="3" t="s">
        <v>288</v>
      </c>
      <c r="C208" s="2" t="s">
        <v>290</v>
      </c>
      <c r="D208" s="4" t="s">
        <v>10</v>
      </c>
      <c r="E208" s="4">
        <v>7</v>
      </c>
      <c r="F208" s="5" t="s">
        <v>305</v>
      </c>
      <c r="G208" s="6" t="s">
        <v>531</v>
      </c>
      <c r="H208" s="4" t="s">
        <v>302</v>
      </c>
      <c r="I208" s="4">
        <v>0</v>
      </c>
    </row>
    <row r="209" spans="1:9" x14ac:dyDescent="0.25">
      <c r="A209" s="2">
        <f>IF(BD_Versos[[#This Row],[Tema_Principal]]="","",ROW(BD_Versos[[#This Row],[Tema_Principal]])-1)</f>
        <v>208</v>
      </c>
      <c r="B209" s="3" t="s">
        <v>288</v>
      </c>
      <c r="C209" s="2" t="s">
        <v>290</v>
      </c>
      <c r="D209" s="4" t="s">
        <v>10</v>
      </c>
      <c r="E209" s="4">
        <v>28</v>
      </c>
      <c r="F209" s="5" t="s">
        <v>48</v>
      </c>
      <c r="G209" s="6" t="s">
        <v>532</v>
      </c>
      <c r="H209" s="4" t="s">
        <v>302</v>
      </c>
      <c r="I209" s="4">
        <v>0</v>
      </c>
    </row>
    <row r="210" spans="1:9" ht="30" x14ac:dyDescent="0.25">
      <c r="A210" s="2">
        <f>IF(BD_Versos[[#This Row],[Tema_Principal]]="","",ROW(BD_Versos[[#This Row],[Tema_Principal]])-1)</f>
        <v>209</v>
      </c>
      <c r="B210" s="3" t="s">
        <v>288</v>
      </c>
      <c r="C210" s="2" t="s">
        <v>290</v>
      </c>
      <c r="D210" s="4" t="s">
        <v>89</v>
      </c>
      <c r="E210" s="4">
        <v>11</v>
      </c>
      <c r="F210" s="5" t="s">
        <v>115</v>
      </c>
      <c r="G210" s="6" t="s">
        <v>469</v>
      </c>
      <c r="H210" s="4" t="s">
        <v>302</v>
      </c>
      <c r="I210" s="4">
        <v>0</v>
      </c>
    </row>
    <row r="211" spans="1:9" ht="30" x14ac:dyDescent="0.25">
      <c r="A211" s="2">
        <f>IF(BD_Versos[[#This Row],[Tema_Principal]]="","",ROW(BD_Versos[[#This Row],[Tema_Principal]])-1)</f>
        <v>210</v>
      </c>
      <c r="B211" s="3" t="s">
        <v>288</v>
      </c>
      <c r="C211" s="2" t="s">
        <v>290</v>
      </c>
      <c r="D211" s="4" t="s">
        <v>12</v>
      </c>
      <c r="E211" s="4">
        <v>14</v>
      </c>
      <c r="F211" s="5" t="s">
        <v>120</v>
      </c>
      <c r="G211" s="6" t="s">
        <v>533</v>
      </c>
      <c r="H211" s="4" t="s">
        <v>302</v>
      </c>
      <c r="I211" s="4">
        <v>0</v>
      </c>
    </row>
    <row r="212" spans="1:9" x14ac:dyDescent="0.25">
      <c r="A212" s="2">
        <f>IF(BD_Versos[[#This Row],[Tema_Principal]]="","",ROW(BD_Versos[[#This Row],[Tema_Principal]])-1)</f>
        <v>211</v>
      </c>
      <c r="B212" s="3" t="s">
        <v>288</v>
      </c>
      <c r="C212" s="2" t="s">
        <v>290</v>
      </c>
      <c r="D212" s="4" t="s">
        <v>20</v>
      </c>
      <c r="E212" s="4">
        <v>4</v>
      </c>
      <c r="F212" s="5" t="s">
        <v>119</v>
      </c>
      <c r="G212" s="6" t="s">
        <v>534</v>
      </c>
      <c r="H212" s="4" t="s">
        <v>302</v>
      </c>
      <c r="I212" s="4">
        <v>0</v>
      </c>
    </row>
    <row r="213" spans="1:9" ht="30" x14ac:dyDescent="0.25">
      <c r="A213" s="2">
        <f>IF(BD_Versos[[#This Row],[Tema_Principal]]="","",ROW(BD_Versos[[#This Row],[Tema_Principal]])-1)</f>
        <v>212</v>
      </c>
      <c r="B213" s="3" t="s">
        <v>288</v>
      </c>
      <c r="C213" s="2" t="s">
        <v>290</v>
      </c>
      <c r="D213" s="4" t="s">
        <v>99</v>
      </c>
      <c r="E213" s="4">
        <v>4</v>
      </c>
      <c r="F213" s="5" t="s">
        <v>31</v>
      </c>
      <c r="G213" s="6" t="s">
        <v>535</v>
      </c>
      <c r="H213" s="4" t="s">
        <v>302</v>
      </c>
      <c r="I213" s="4">
        <v>0</v>
      </c>
    </row>
    <row r="214" spans="1:9" ht="90" x14ac:dyDescent="0.25">
      <c r="A214" s="2">
        <f>IF(BD_Versos[[#This Row],[Tema_Principal]]="","",ROW(BD_Versos[[#This Row],[Tema_Principal]])-1)</f>
        <v>213</v>
      </c>
      <c r="B214" s="3" t="s">
        <v>344</v>
      </c>
      <c r="C214" s="2" t="s">
        <v>582</v>
      </c>
      <c r="D214" s="4" t="s">
        <v>47</v>
      </c>
      <c r="E214" s="4">
        <v>4</v>
      </c>
      <c r="F214" s="5" t="s">
        <v>295</v>
      </c>
      <c r="G214" s="6" t="s">
        <v>536</v>
      </c>
      <c r="I214" s="4"/>
    </row>
    <row r="215" spans="1:9" ht="30" x14ac:dyDescent="0.25">
      <c r="A215" s="2">
        <f>IF(BD_Versos[[#This Row],[Tema_Principal]]="","",ROW(BD_Versos[[#This Row],[Tema_Principal]])-1)</f>
        <v>214</v>
      </c>
      <c r="B215" s="3" t="s">
        <v>344</v>
      </c>
      <c r="C215" s="2" t="s">
        <v>582</v>
      </c>
      <c r="D215" s="4" t="s">
        <v>47</v>
      </c>
      <c r="E215" s="4">
        <v>9</v>
      </c>
      <c r="F215" s="5" t="s">
        <v>136</v>
      </c>
      <c r="G215" s="6" t="s">
        <v>539</v>
      </c>
      <c r="I215" s="4"/>
    </row>
    <row r="216" spans="1:9" ht="30" x14ac:dyDescent="0.25">
      <c r="A216" s="2">
        <f>IF(BD_Versos[[#This Row],[Tema_Principal]]="","",ROW(BD_Versos[[#This Row],[Tema_Principal]])-1)</f>
        <v>215</v>
      </c>
      <c r="B216" s="3" t="s">
        <v>344</v>
      </c>
      <c r="C216" s="2" t="s">
        <v>582</v>
      </c>
      <c r="D216" s="4" t="s">
        <v>30</v>
      </c>
      <c r="E216" s="4">
        <v>4</v>
      </c>
      <c r="F216" s="5" t="s">
        <v>294</v>
      </c>
      <c r="G216" s="6" t="s">
        <v>542</v>
      </c>
      <c r="I216" s="4"/>
    </row>
    <row r="217" spans="1:9" ht="30" x14ac:dyDescent="0.25">
      <c r="A217" s="2">
        <f>IF(BD_Versos[[#This Row],[Tema_Principal]]="","",ROW(BD_Versos[[#This Row],[Tema_Principal]])-1)</f>
        <v>216</v>
      </c>
      <c r="B217" s="3" t="s">
        <v>344</v>
      </c>
      <c r="C217" s="2" t="s">
        <v>582</v>
      </c>
      <c r="D217" s="4" t="s">
        <v>30</v>
      </c>
      <c r="E217" s="4">
        <v>8</v>
      </c>
      <c r="F217" s="5" t="s">
        <v>25</v>
      </c>
      <c r="G217" s="6" t="s">
        <v>543</v>
      </c>
      <c r="I217" s="4"/>
    </row>
    <row r="218" spans="1:9" ht="30" x14ac:dyDescent="0.25">
      <c r="A218" s="2">
        <f>IF(BD_Versos[[#This Row],[Tema_Principal]]="","",ROW(BD_Versos[[#This Row],[Tema_Principal]])-1)</f>
        <v>217</v>
      </c>
      <c r="B218" s="3" t="s">
        <v>344</v>
      </c>
      <c r="C218" s="2" t="s">
        <v>345</v>
      </c>
      <c r="D218" s="4" t="s">
        <v>47</v>
      </c>
      <c r="E218" s="4">
        <v>24</v>
      </c>
      <c r="F218" s="5" t="s">
        <v>44</v>
      </c>
      <c r="G218" s="6" t="s">
        <v>540</v>
      </c>
      <c r="I218" s="4"/>
    </row>
    <row r="219" spans="1:9" ht="30" x14ac:dyDescent="0.25">
      <c r="A219" s="2">
        <f>IF(BD_Versos[[#This Row],[Tema_Principal]]="","",ROW(BD_Versos[[#This Row],[Tema_Principal]])-1)</f>
        <v>218</v>
      </c>
      <c r="B219" s="3" t="s">
        <v>344</v>
      </c>
      <c r="C219" s="2" t="s">
        <v>345</v>
      </c>
      <c r="D219" s="4" t="s">
        <v>27</v>
      </c>
      <c r="E219" s="4">
        <v>1</v>
      </c>
      <c r="F219" s="5" t="s">
        <v>44</v>
      </c>
      <c r="G219" s="6" t="s">
        <v>541</v>
      </c>
      <c r="I219" s="4"/>
    </row>
    <row r="220" spans="1:9" ht="30" x14ac:dyDescent="0.25">
      <c r="A220" s="2">
        <f>IF(BD_Versos[[#This Row],[Tema_Principal]]="","",ROW(BD_Versos[[#This Row],[Tema_Principal]])-1)</f>
        <v>219</v>
      </c>
      <c r="B220" s="3" t="s">
        <v>344</v>
      </c>
      <c r="C220" s="2" t="s">
        <v>345</v>
      </c>
      <c r="D220" s="4" t="s">
        <v>10</v>
      </c>
      <c r="E220" s="4">
        <v>8</v>
      </c>
      <c r="F220" s="5" t="s">
        <v>107</v>
      </c>
      <c r="G220" s="6" t="s">
        <v>544</v>
      </c>
      <c r="I220" s="4"/>
    </row>
    <row r="221" spans="1:9" ht="30" x14ac:dyDescent="0.25">
      <c r="A221" s="2">
        <f>IF(BD_Versos[[#This Row],[Tema_Principal]]="","",ROW(BD_Versos[[#This Row],[Tema_Principal]])-1)</f>
        <v>220</v>
      </c>
      <c r="B221" s="3" t="s">
        <v>344</v>
      </c>
      <c r="C221" s="2" t="s">
        <v>537</v>
      </c>
      <c r="D221" s="4" t="s">
        <v>89</v>
      </c>
      <c r="E221" s="4">
        <v>1</v>
      </c>
      <c r="F221" s="5" t="s">
        <v>121</v>
      </c>
      <c r="G221" s="6" t="s">
        <v>545</v>
      </c>
      <c r="I221" s="4"/>
    </row>
    <row r="222" spans="1:9" ht="30" x14ac:dyDescent="0.25">
      <c r="A222" s="2">
        <f>IF(BD_Versos[[#This Row],[Tema_Principal]]="","",ROW(BD_Versos[[#This Row],[Tema_Principal]])-1)</f>
        <v>221</v>
      </c>
      <c r="B222" s="3" t="s">
        <v>344</v>
      </c>
      <c r="C222" s="2" t="s">
        <v>537</v>
      </c>
      <c r="D222" s="4" t="s">
        <v>89</v>
      </c>
      <c r="E222" s="4">
        <v>15</v>
      </c>
      <c r="F222" s="5" t="s">
        <v>134</v>
      </c>
      <c r="G222" s="6" t="s">
        <v>546</v>
      </c>
      <c r="I222" s="4"/>
    </row>
    <row r="223" spans="1:9" ht="45" x14ac:dyDescent="0.25">
      <c r="A223" s="2">
        <f>IF(BD_Versos[[#This Row],[Tema_Principal]]="","",ROW(BD_Versos[[#This Row],[Tema_Principal]])-1)</f>
        <v>222</v>
      </c>
      <c r="B223" s="3" t="s">
        <v>344</v>
      </c>
      <c r="C223" s="2" t="s">
        <v>537</v>
      </c>
      <c r="D223" s="4" t="s">
        <v>92</v>
      </c>
      <c r="E223" s="4">
        <v>1</v>
      </c>
      <c r="F223" s="5" t="s">
        <v>32</v>
      </c>
      <c r="G223" s="6" t="s">
        <v>547</v>
      </c>
      <c r="I223" s="4"/>
    </row>
    <row r="224" spans="1:9" ht="30" x14ac:dyDescent="0.25">
      <c r="A224" s="2">
        <f>IF(BD_Versos[[#This Row],[Tema_Principal]]="","",ROW(BD_Versos[[#This Row],[Tema_Principal]])-1)</f>
        <v>223</v>
      </c>
      <c r="B224" s="3" t="s">
        <v>344</v>
      </c>
      <c r="C224" s="2" t="s">
        <v>537</v>
      </c>
      <c r="D224" s="4" t="s">
        <v>20</v>
      </c>
      <c r="E224" s="4">
        <v>1</v>
      </c>
      <c r="F224" s="5" t="s">
        <v>115</v>
      </c>
      <c r="G224" s="6" t="s">
        <v>548</v>
      </c>
      <c r="I224" s="4"/>
    </row>
    <row r="225" spans="1:9" ht="30" x14ac:dyDescent="0.25">
      <c r="A225" s="2">
        <f>IF(BD_Versos[[#This Row],[Tema_Principal]]="","",ROW(BD_Versos[[#This Row],[Tema_Principal]])-1)</f>
        <v>224</v>
      </c>
      <c r="B225" s="3" t="s">
        <v>344</v>
      </c>
      <c r="C225" s="14" t="s">
        <v>563</v>
      </c>
      <c r="D225" s="4" t="s">
        <v>89</v>
      </c>
      <c r="E225" s="4">
        <v>1</v>
      </c>
      <c r="F225" s="5" t="s">
        <v>297</v>
      </c>
      <c r="G225" s="6" t="s">
        <v>625</v>
      </c>
      <c r="I225" s="4"/>
    </row>
    <row r="226" spans="1:9" x14ac:dyDescent="0.25">
      <c r="A226" s="2">
        <f>IF(BD_Versos[[#This Row],[Tema_Principal]]="","",ROW(BD_Versos[[#This Row],[Tema_Principal]])-1)</f>
        <v>225</v>
      </c>
      <c r="B226" s="3" t="s">
        <v>344</v>
      </c>
      <c r="C226" s="14" t="s">
        <v>568</v>
      </c>
      <c r="D226" s="4" t="s">
        <v>36</v>
      </c>
      <c r="E226" s="4">
        <v>6</v>
      </c>
      <c r="F226" s="5" t="s">
        <v>28</v>
      </c>
      <c r="G226" s="6" t="s">
        <v>626</v>
      </c>
      <c r="I226" s="4"/>
    </row>
    <row r="227" spans="1:9" x14ac:dyDescent="0.25">
      <c r="A227" s="2">
        <f>IF(BD_Versos[[#This Row],[Tema_Principal]]="","",ROW(BD_Versos[[#This Row],[Tema_Principal]])-1)</f>
        <v>226</v>
      </c>
      <c r="B227" s="3" t="s">
        <v>344</v>
      </c>
      <c r="C227" s="14" t="s">
        <v>568</v>
      </c>
      <c r="D227" s="4" t="s">
        <v>36</v>
      </c>
      <c r="E227" s="4">
        <v>2</v>
      </c>
      <c r="F227" s="5" t="s">
        <v>297</v>
      </c>
      <c r="G227" s="6" t="s">
        <v>665</v>
      </c>
      <c r="I227" s="4"/>
    </row>
    <row r="228" spans="1:9" ht="30" x14ac:dyDescent="0.25">
      <c r="A228" s="2">
        <f>IF(BD_Versos[[#This Row],[Tema_Principal]]="","",ROW(BD_Versos[[#This Row],[Tema_Principal]])-1)</f>
        <v>227</v>
      </c>
      <c r="B228" s="3" t="s">
        <v>344</v>
      </c>
      <c r="C228" s="2" t="s">
        <v>632</v>
      </c>
      <c r="D228" s="4" t="s">
        <v>89</v>
      </c>
      <c r="E228" s="4">
        <v>15</v>
      </c>
      <c r="F228" s="5" t="s">
        <v>40</v>
      </c>
      <c r="G228" s="6" t="s">
        <v>549</v>
      </c>
      <c r="I228" s="4"/>
    </row>
    <row r="229" spans="1:9" ht="30" x14ac:dyDescent="0.25">
      <c r="A229" s="2">
        <f>IF(BD_Versos[[#This Row],[Tema_Principal]]="","",ROW(BD_Versos[[#This Row],[Tema_Principal]])-1)</f>
        <v>228</v>
      </c>
      <c r="B229" s="3" t="s">
        <v>344</v>
      </c>
      <c r="C229" s="2" t="s">
        <v>633</v>
      </c>
      <c r="D229" s="4" t="s">
        <v>89</v>
      </c>
      <c r="E229" s="4">
        <v>15</v>
      </c>
      <c r="F229" s="5" t="s">
        <v>134</v>
      </c>
      <c r="G229" s="6" t="s">
        <v>546</v>
      </c>
      <c r="I229" s="4"/>
    </row>
    <row r="230" spans="1:9" x14ac:dyDescent="0.25">
      <c r="A230" s="2">
        <f>IF(BD_Versos[[#This Row],[Tema_Principal]]="","",ROW(BD_Versos[[#This Row],[Tema_Principal]])-1)</f>
        <v>229</v>
      </c>
      <c r="B230" s="3" t="s">
        <v>344</v>
      </c>
      <c r="C230" s="2" t="s">
        <v>633</v>
      </c>
      <c r="D230" s="4" t="s">
        <v>89</v>
      </c>
      <c r="E230" s="4">
        <v>15</v>
      </c>
      <c r="F230" s="5" t="s">
        <v>108</v>
      </c>
      <c r="G230" s="6" t="s">
        <v>551</v>
      </c>
      <c r="I230" s="4"/>
    </row>
    <row r="231" spans="1:9" ht="30" x14ac:dyDescent="0.25">
      <c r="A231" s="2">
        <f>IF(BD_Versos[[#This Row],[Tema_Principal]]="","",ROW(BD_Versos[[#This Row],[Tema_Principal]])-1)</f>
        <v>230</v>
      </c>
      <c r="B231" s="3" t="s">
        <v>344</v>
      </c>
      <c r="C231" s="2" t="s">
        <v>634</v>
      </c>
      <c r="D231" s="4" t="s">
        <v>12</v>
      </c>
      <c r="E231" s="4">
        <v>1</v>
      </c>
      <c r="F231" s="5" t="s">
        <v>297</v>
      </c>
      <c r="G231" s="6" t="s">
        <v>552</v>
      </c>
      <c r="I231" s="4"/>
    </row>
    <row r="232" spans="1:9" ht="30" x14ac:dyDescent="0.25">
      <c r="A232" s="2">
        <f>IF(BD_Versos[[#This Row],[Tema_Principal]]="","",ROW(BD_Versos[[#This Row],[Tema_Principal]])-1)</f>
        <v>231</v>
      </c>
      <c r="B232" s="3" t="s">
        <v>344</v>
      </c>
      <c r="C232" s="2" t="s">
        <v>583</v>
      </c>
      <c r="D232" s="4" t="s">
        <v>12</v>
      </c>
      <c r="E232" s="4">
        <v>4</v>
      </c>
      <c r="F232" s="5" t="s">
        <v>28</v>
      </c>
      <c r="G232" s="6" t="s">
        <v>553</v>
      </c>
      <c r="I232" s="4"/>
    </row>
    <row r="233" spans="1:9" ht="30" x14ac:dyDescent="0.25">
      <c r="A233" s="2">
        <f>IF(BD_Versos[[#This Row],[Tema_Principal]]="","",ROW(BD_Versos[[#This Row],[Tema_Principal]])-1)</f>
        <v>232</v>
      </c>
      <c r="B233" s="3" t="s">
        <v>344</v>
      </c>
      <c r="C233" s="2" t="s">
        <v>583</v>
      </c>
      <c r="D233" s="4" t="s">
        <v>33</v>
      </c>
      <c r="E233" s="4">
        <v>2</v>
      </c>
      <c r="F233" s="5" t="s">
        <v>107</v>
      </c>
      <c r="G233" s="6" t="s">
        <v>555</v>
      </c>
      <c r="I233" s="4"/>
    </row>
    <row r="234" spans="1:9" ht="30" x14ac:dyDescent="0.25">
      <c r="A234" s="2">
        <f>IF(BD_Versos[[#This Row],[Tema_Principal]]="","",ROW(BD_Versos[[#This Row],[Tema_Principal]])-1)</f>
        <v>233</v>
      </c>
      <c r="B234" s="3" t="s">
        <v>344</v>
      </c>
      <c r="C234" s="2" t="s">
        <v>584</v>
      </c>
      <c r="D234" s="4" t="s">
        <v>12</v>
      </c>
      <c r="E234" s="4">
        <v>9</v>
      </c>
      <c r="F234" s="5" t="s">
        <v>105</v>
      </c>
      <c r="G234" s="6" t="s">
        <v>554</v>
      </c>
      <c r="I234" s="4"/>
    </row>
    <row r="235" spans="1:9" ht="30" x14ac:dyDescent="0.25">
      <c r="A235" s="2">
        <f>IF(BD_Versos[[#This Row],[Tema_Principal]]="","",ROW(BD_Versos[[#This Row],[Tema_Principal]])-1)</f>
        <v>234</v>
      </c>
      <c r="B235" s="3" t="s">
        <v>344</v>
      </c>
      <c r="C235" s="2" t="s">
        <v>585</v>
      </c>
      <c r="D235" s="4" t="s">
        <v>33</v>
      </c>
      <c r="E235" s="4">
        <v>4</v>
      </c>
      <c r="F235" s="5" t="s">
        <v>119</v>
      </c>
      <c r="G235" s="6" t="s">
        <v>556</v>
      </c>
      <c r="I235" s="4"/>
    </row>
    <row r="236" spans="1:9" ht="30" x14ac:dyDescent="0.25">
      <c r="A236" s="2">
        <f>IF(BD_Versos[[#This Row],[Tema_Principal]]="","",ROW(BD_Versos[[#This Row],[Tema_Principal]])-1)</f>
        <v>235</v>
      </c>
      <c r="B236" s="3" t="s">
        <v>344</v>
      </c>
      <c r="C236" s="2" t="s">
        <v>585</v>
      </c>
      <c r="D236" s="4" t="s">
        <v>33</v>
      </c>
      <c r="E236" s="4">
        <v>9</v>
      </c>
      <c r="F236" s="5" t="s">
        <v>110</v>
      </c>
      <c r="G236" s="6" t="s">
        <v>557</v>
      </c>
      <c r="I236" s="4"/>
    </row>
    <row r="237" spans="1:9" ht="30" x14ac:dyDescent="0.25">
      <c r="A237" s="2">
        <f>IF(BD_Versos[[#This Row],[Tema_Principal]]="","",ROW(BD_Versos[[#This Row],[Tema_Principal]])-1)</f>
        <v>236</v>
      </c>
      <c r="B237" s="3" t="s">
        <v>344</v>
      </c>
      <c r="C237" s="2" t="s">
        <v>586</v>
      </c>
      <c r="D237" s="4" t="s">
        <v>36</v>
      </c>
      <c r="E237" s="4">
        <v>3</v>
      </c>
      <c r="F237" s="5" t="s">
        <v>115</v>
      </c>
      <c r="G237" s="6" t="s">
        <v>558</v>
      </c>
      <c r="I237" s="4"/>
    </row>
    <row r="238" spans="1:9" ht="30" x14ac:dyDescent="0.25">
      <c r="A238" s="2">
        <f>IF(BD_Versos[[#This Row],[Tema_Principal]]="","",ROW(BD_Versos[[#This Row],[Tema_Principal]])-1)</f>
        <v>237</v>
      </c>
      <c r="B238" s="3" t="s">
        <v>344</v>
      </c>
      <c r="C238" s="2" t="s">
        <v>587</v>
      </c>
      <c r="D238" s="4" t="s">
        <v>15</v>
      </c>
      <c r="E238" s="4">
        <v>1</v>
      </c>
      <c r="F238" s="5" t="s">
        <v>34</v>
      </c>
      <c r="G238" s="6" t="s">
        <v>591</v>
      </c>
      <c r="I238" s="4"/>
    </row>
    <row r="239" spans="1:9" ht="45" x14ac:dyDescent="0.25">
      <c r="A239" s="2">
        <f>IF(BD_Versos[[#This Row],[Tema_Principal]]="","",ROW(BD_Versos[[#This Row],[Tema_Principal]])-1)</f>
        <v>238</v>
      </c>
      <c r="B239" s="3" t="s">
        <v>344</v>
      </c>
      <c r="C239" s="2" t="s">
        <v>567</v>
      </c>
      <c r="D239" s="4" t="s">
        <v>17</v>
      </c>
      <c r="E239" s="4">
        <v>1</v>
      </c>
      <c r="F239" s="5" t="s">
        <v>109</v>
      </c>
      <c r="G239" s="6" t="s">
        <v>559</v>
      </c>
      <c r="I239" s="4"/>
    </row>
    <row r="240" spans="1:9" ht="30" x14ac:dyDescent="0.25">
      <c r="A240" s="2">
        <f>IF(BD_Versos[[#This Row],[Tema_Principal]]="","",ROW(BD_Versos[[#This Row],[Tema_Principal]])-1)</f>
        <v>239</v>
      </c>
      <c r="B240" s="3" t="s">
        <v>344</v>
      </c>
      <c r="C240" s="2" t="s">
        <v>567</v>
      </c>
      <c r="D240" s="4" t="s">
        <v>17</v>
      </c>
      <c r="E240" s="4">
        <v>1</v>
      </c>
      <c r="F240" s="5" t="s">
        <v>107</v>
      </c>
      <c r="G240" s="6" t="s">
        <v>560</v>
      </c>
      <c r="I240" s="4"/>
    </row>
    <row r="241" spans="1:9" x14ac:dyDescent="0.25">
      <c r="A241" s="2">
        <f>IF(BD_Versos[[#This Row],[Tema_Principal]]="","",ROW(BD_Versos[[#This Row],[Tema_Principal]])-1)</f>
        <v>240</v>
      </c>
      <c r="B241" s="3" t="s">
        <v>344</v>
      </c>
      <c r="C241" s="2" t="s">
        <v>567</v>
      </c>
      <c r="D241" s="4" t="s">
        <v>15</v>
      </c>
      <c r="E241" s="4">
        <v>4</v>
      </c>
      <c r="F241" s="5" t="s">
        <v>110</v>
      </c>
      <c r="G241" s="6" t="s">
        <v>592</v>
      </c>
      <c r="I241" s="4"/>
    </row>
    <row r="242" spans="1:9" ht="30" x14ac:dyDescent="0.25">
      <c r="A242" s="2">
        <f>IF(BD_Versos[[#This Row],[Tema_Principal]]="","",ROW(BD_Versos[[#This Row],[Tema_Principal]])-1)</f>
        <v>241</v>
      </c>
      <c r="B242" s="3" t="s">
        <v>344</v>
      </c>
      <c r="C242" s="2" t="s">
        <v>567</v>
      </c>
      <c r="D242" s="4" t="s">
        <v>92</v>
      </c>
      <c r="E242" s="4">
        <v>2</v>
      </c>
      <c r="F242" s="5" t="s">
        <v>46</v>
      </c>
      <c r="G242" s="6" t="s">
        <v>593</v>
      </c>
      <c r="I242" s="4"/>
    </row>
    <row r="243" spans="1:9" ht="30" x14ac:dyDescent="0.25">
      <c r="A243" s="2">
        <f>IF(BD_Versos[[#This Row],[Tema_Principal]]="","",ROW(BD_Versos[[#This Row],[Tema_Principal]])-1)</f>
        <v>242</v>
      </c>
      <c r="B243" s="3" t="s">
        <v>344</v>
      </c>
      <c r="C243" s="2" t="s">
        <v>567</v>
      </c>
      <c r="D243" s="4" t="s">
        <v>92</v>
      </c>
      <c r="E243" s="4">
        <v>2</v>
      </c>
      <c r="F243" s="5" t="s">
        <v>38</v>
      </c>
      <c r="G243" s="6" t="s">
        <v>594</v>
      </c>
      <c r="I243" s="4"/>
    </row>
    <row r="244" spans="1:9" ht="30" x14ac:dyDescent="0.25">
      <c r="A244" s="2">
        <f>IF(BD_Versos[[#This Row],[Tema_Principal]]="","",ROW(BD_Versos[[#This Row],[Tema_Principal]])-1)</f>
        <v>243</v>
      </c>
      <c r="B244" s="3" t="s">
        <v>344</v>
      </c>
      <c r="C244" s="2" t="s">
        <v>567</v>
      </c>
      <c r="D244" s="4" t="s">
        <v>20</v>
      </c>
      <c r="E244" s="4">
        <v>1</v>
      </c>
      <c r="F244" s="5" t="s">
        <v>115</v>
      </c>
      <c r="G244" s="6" t="s">
        <v>595</v>
      </c>
      <c r="I244" s="4"/>
    </row>
    <row r="245" spans="1:9" ht="30" x14ac:dyDescent="0.25">
      <c r="A245" s="2">
        <f>IF(BD_Versos[[#This Row],[Tema_Principal]]="","",ROW(BD_Versos[[#This Row],[Tema_Principal]])-1)</f>
        <v>244</v>
      </c>
      <c r="B245" s="3" t="s">
        <v>344</v>
      </c>
      <c r="C245" s="2" t="s">
        <v>565</v>
      </c>
      <c r="D245" s="4" t="s">
        <v>12</v>
      </c>
      <c r="E245" s="4">
        <v>9</v>
      </c>
      <c r="F245" s="5" t="s">
        <v>107</v>
      </c>
      <c r="G245" s="6" t="s">
        <v>596</v>
      </c>
      <c r="I245" s="4"/>
    </row>
    <row r="246" spans="1:9" ht="30" x14ac:dyDescent="0.25">
      <c r="A246" s="2">
        <f>IF(BD_Versos[[#This Row],[Tema_Principal]]="","",ROW(BD_Versos[[#This Row],[Tema_Principal]])-1)</f>
        <v>245</v>
      </c>
      <c r="B246" s="3" t="s">
        <v>344</v>
      </c>
      <c r="C246" s="2" t="s">
        <v>565</v>
      </c>
      <c r="D246" s="4" t="s">
        <v>12</v>
      </c>
      <c r="E246" s="4">
        <v>9</v>
      </c>
      <c r="F246" s="5" t="s">
        <v>121</v>
      </c>
      <c r="G246" s="6" t="s">
        <v>597</v>
      </c>
      <c r="I246" s="4"/>
    </row>
    <row r="247" spans="1:9" x14ac:dyDescent="0.25">
      <c r="A247" s="2">
        <f>IF(BD_Versos[[#This Row],[Tema_Principal]]="","",ROW(BD_Versos[[#This Row],[Tema_Principal]])-1)</f>
        <v>246</v>
      </c>
      <c r="B247" s="3" t="s">
        <v>344</v>
      </c>
      <c r="C247" s="2" t="s">
        <v>565</v>
      </c>
      <c r="D247" s="4" t="s">
        <v>12</v>
      </c>
      <c r="E247" s="4">
        <v>9</v>
      </c>
      <c r="F247" s="5" t="s">
        <v>295</v>
      </c>
      <c r="G247" s="6" t="s">
        <v>598</v>
      </c>
      <c r="I247" s="4"/>
    </row>
    <row r="248" spans="1:9" ht="30" x14ac:dyDescent="0.25">
      <c r="A248" s="2">
        <f>IF(BD_Versos[[#This Row],[Tema_Principal]]="","",ROW(BD_Versos[[#This Row],[Tema_Principal]])-1)</f>
        <v>247</v>
      </c>
      <c r="B248" s="3" t="s">
        <v>344</v>
      </c>
      <c r="C248" s="2" t="s">
        <v>569</v>
      </c>
      <c r="D248" s="4" t="s">
        <v>36</v>
      </c>
      <c r="E248" s="4">
        <v>6</v>
      </c>
      <c r="F248" s="5" t="s">
        <v>134</v>
      </c>
      <c r="G248" s="6" t="s">
        <v>599</v>
      </c>
      <c r="I248" s="4"/>
    </row>
    <row r="249" spans="1:9" ht="30" x14ac:dyDescent="0.25">
      <c r="A249" s="2">
        <f>IF(BD_Versos[[#This Row],[Tema_Principal]]="","",ROW(BD_Versos[[#This Row],[Tema_Principal]])-1)</f>
        <v>248</v>
      </c>
      <c r="B249" s="3" t="s">
        <v>344</v>
      </c>
      <c r="C249" s="2" t="s">
        <v>569</v>
      </c>
      <c r="D249" s="4" t="s">
        <v>36</v>
      </c>
      <c r="E249" s="4">
        <v>3</v>
      </c>
      <c r="F249" s="5" t="s">
        <v>115</v>
      </c>
      <c r="G249" s="6" t="s">
        <v>558</v>
      </c>
      <c r="I249" s="4"/>
    </row>
    <row r="250" spans="1:9" ht="30" x14ac:dyDescent="0.25">
      <c r="A250" s="2">
        <f>IF(BD_Versos[[#This Row],[Tema_Principal]]="","",ROW(BD_Versos[[#This Row],[Tema_Principal]])-1)</f>
        <v>249</v>
      </c>
      <c r="B250" s="3" t="s">
        <v>344</v>
      </c>
      <c r="C250" s="2" t="s">
        <v>564</v>
      </c>
      <c r="D250" s="4" t="s">
        <v>89</v>
      </c>
      <c r="E250" s="4">
        <v>15</v>
      </c>
      <c r="F250" s="5" t="s">
        <v>40</v>
      </c>
      <c r="G250" s="6" t="s">
        <v>600</v>
      </c>
      <c r="I250" s="4"/>
    </row>
    <row r="251" spans="1:9" ht="71.25" customHeight="1" x14ac:dyDescent="0.25">
      <c r="A251" s="2">
        <f>IF(BD_Versos[[#This Row],[Tema_Principal]]="","",ROW(BD_Versos[[#This Row],[Tema_Principal]])-1)</f>
        <v>250</v>
      </c>
      <c r="B251" s="3" t="s">
        <v>344</v>
      </c>
      <c r="C251" s="2" t="s">
        <v>564</v>
      </c>
      <c r="D251" s="4" t="s">
        <v>89</v>
      </c>
      <c r="E251" s="4">
        <v>15</v>
      </c>
      <c r="F251" s="5" t="s">
        <v>121</v>
      </c>
      <c r="G251" s="6" t="s">
        <v>601</v>
      </c>
      <c r="I251" s="4"/>
    </row>
    <row r="252" spans="1:9" ht="30" x14ac:dyDescent="0.25">
      <c r="A252" s="2">
        <f>IF(BD_Versos[[#This Row],[Tema_Principal]]="","",ROW(BD_Versos[[#This Row],[Tema_Principal]])-1)</f>
        <v>251</v>
      </c>
      <c r="B252" s="3" t="s">
        <v>344</v>
      </c>
      <c r="C252" s="2" t="s">
        <v>564</v>
      </c>
      <c r="D252" s="4" t="s">
        <v>15</v>
      </c>
      <c r="E252" s="4">
        <v>2</v>
      </c>
      <c r="F252" s="5" t="s">
        <v>46</v>
      </c>
      <c r="G252" s="6" t="s">
        <v>602</v>
      </c>
      <c r="I252" s="4"/>
    </row>
    <row r="253" spans="1:9" ht="30" x14ac:dyDescent="0.25">
      <c r="A253" s="2">
        <f>IF(BD_Versos[[#This Row],[Tema_Principal]]="","",ROW(BD_Versos[[#This Row],[Tema_Principal]])-1)</f>
        <v>252</v>
      </c>
      <c r="B253" s="3" t="s">
        <v>344</v>
      </c>
      <c r="C253" s="2" t="s">
        <v>564</v>
      </c>
      <c r="D253" s="4" t="s">
        <v>15</v>
      </c>
      <c r="E253" s="4">
        <v>2</v>
      </c>
      <c r="F253" s="5" t="s">
        <v>40</v>
      </c>
      <c r="G253" s="6" t="s">
        <v>603</v>
      </c>
      <c r="I253" s="4"/>
    </row>
    <row r="254" spans="1:9" ht="38.25" customHeight="1" x14ac:dyDescent="0.25">
      <c r="A254" s="2">
        <f>IF(BD_Versos[[#This Row],[Tema_Principal]]="","",ROW(BD_Versos[[#This Row],[Tema_Principal]])-1)</f>
        <v>253</v>
      </c>
      <c r="B254" s="3" t="s">
        <v>344</v>
      </c>
      <c r="C254" s="2" t="s">
        <v>564</v>
      </c>
      <c r="D254" s="4" t="s">
        <v>36</v>
      </c>
      <c r="E254" s="4">
        <v>3</v>
      </c>
      <c r="F254" s="5" t="s">
        <v>31</v>
      </c>
      <c r="G254" s="6" t="s">
        <v>604</v>
      </c>
      <c r="I254" s="4"/>
    </row>
    <row r="255" spans="1:9" ht="30" x14ac:dyDescent="0.25">
      <c r="A255" s="2">
        <f>IF(BD_Versos[[#This Row],[Tema_Principal]]="","",ROW(BD_Versos[[#This Row],[Tema_Principal]])-1)</f>
        <v>254</v>
      </c>
      <c r="B255" s="3" t="s">
        <v>344</v>
      </c>
      <c r="C255" s="2" t="s">
        <v>576</v>
      </c>
      <c r="D255" s="4" t="s">
        <v>47</v>
      </c>
      <c r="E255" s="4">
        <v>11</v>
      </c>
      <c r="F255" s="5" t="s">
        <v>32</v>
      </c>
      <c r="G255" s="6" t="s">
        <v>605</v>
      </c>
      <c r="I255" s="4"/>
    </row>
    <row r="256" spans="1:9" ht="45" x14ac:dyDescent="0.25">
      <c r="A256" s="2">
        <f>IF(BD_Versos[[#This Row],[Tema_Principal]]="","",ROW(BD_Versos[[#This Row],[Tema_Principal]])-1)</f>
        <v>255</v>
      </c>
      <c r="B256" s="3" t="s">
        <v>344</v>
      </c>
      <c r="C256" s="2" t="s">
        <v>576</v>
      </c>
      <c r="D256" s="4" t="s">
        <v>30</v>
      </c>
      <c r="E256" s="4">
        <v>4</v>
      </c>
      <c r="F256" s="5" t="s">
        <v>578</v>
      </c>
      <c r="G256" s="6" t="s">
        <v>606</v>
      </c>
      <c r="I256" s="4"/>
    </row>
    <row r="257" spans="1:9" x14ac:dyDescent="0.25">
      <c r="A257" s="2">
        <f>IF(BD_Versos[[#This Row],[Tema_Principal]]="","",ROW(BD_Versos[[#This Row],[Tema_Principal]])-1)</f>
        <v>256</v>
      </c>
      <c r="B257" s="3" t="s">
        <v>344</v>
      </c>
      <c r="C257" s="2" t="s">
        <v>635</v>
      </c>
      <c r="D257" s="4" t="s">
        <v>33</v>
      </c>
      <c r="E257" s="4">
        <v>4</v>
      </c>
      <c r="F257" s="5" t="s">
        <v>35</v>
      </c>
      <c r="G257" s="6" t="s">
        <v>607</v>
      </c>
      <c r="I257" s="4"/>
    </row>
    <row r="258" spans="1:9" ht="30" x14ac:dyDescent="0.25">
      <c r="A258" s="2">
        <f>IF(BD_Versos[[#This Row],[Tema_Principal]]="","",ROW(BD_Versos[[#This Row],[Tema_Principal]])-1)</f>
        <v>257</v>
      </c>
      <c r="B258" s="3" t="s">
        <v>344</v>
      </c>
      <c r="C258" s="2" t="s">
        <v>635</v>
      </c>
      <c r="D258" s="4" t="s">
        <v>33</v>
      </c>
      <c r="E258" s="4">
        <v>4</v>
      </c>
      <c r="F258" s="5" t="s">
        <v>119</v>
      </c>
      <c r="G258" s="6" t="s">
        <v>608</v>
      </c>
      <c r="I258" s="4"/>
    </row>
    <row r="259" spans="1:9" ht="60" x14ac:dyDescent="0.25">
      <c r="A259" s="2">
        <f>IF(BD_Versos[[#This Row],[Tema_Principal]]="","",ROW(BD_Versos[[#This Row],[Tema_Principal]])-1)</f>
        <v>258</v>
      </c>
      <c r="B259" s="3" t="s">
        <v>344</v>
      </c>
      <c r="C259" s="2" t="s">
        <v>635</v>
      </c>
      <c r="D259" s="4" t="s">
        <v>37</v>
      </c>
      <c r="E259" s="4">
        <v>1</v>
      </c>
      <c r="F259" s="5" t="s">
        <v>572</v>
      </c>
      <c r="G259" s="6" t="s">
        <v>609</v>
      </c>
      <c r="I259" s="4"/>
    </row>
    <row r="260" spans="1:9" ht="45" x14ac:dyDescent="0.25">
      <c r="A260" s="2">
        <f>IF(BD_Versos[[#This Row],[Tema_Principal]]="","",ROW(BD_Versos[[#This Row],[Tema_Principal]])-1)</f>
        <v>259</v>
      </c>
      <c r="B260" s="3" t="s">
        <v>344</v>
      </c>
      <c r="C260" s="2" t="s">
        <v>570</v>
      </c>
      <c r="D260" s="4" t="s">
        <v>17</v>
      </c>
      <c r="E260" s="4">
        <v>1</v>
      </c>
      <c r="F260" s="5" t="s">
        <v>571</v>
      </c>
      <c r="G260" s="6" t="s">
        <v>610</v>
      </c>
      <c r="I260" s="4"/>
    </row>
    <row r="261" spans="1:9" ht="45" x14ac:dyDescent="0.25">
      <c r="A261" s="2">
        <f>IF(BD_Versos[[#This Row],[Tema_Principal]]="","",ROW(BD_Versos[[#This Row],[Tema_Principal]])-1)</f>
        <v>260</v>
      </c>
      <c r="B261" s="3" t="s">
        <v>344</v>
      </c>
      <c r="C261" s="2" t="s">
        <v>570</v>
      </c>
      <c r="D261" s="4" t="s">
        <v>91</v>
      </c>
      <c r="E261" s="4">
        <v>1</v>
      </c>
      <c r="F261" s="5" t="s">
        <v>295</v>
      </c>
      <c r="G261" s="6" t="s">
        <v>611</v>
      </c>
      <c r="I261" s="4"/>
    </row>
    <row r="262" spans="1:9" ht="30" x14ac:dyDescent="0.25">
      <c r="A262" s="2">
        <f>IF(BD_Versos[[#This Row],[Tema_Principal]]="","",ROW(BD_Versos[[#This Row],[Tema_Principal]])-1)</f>
        <v>261</v>
      </c>
      <c r="B262" s="3" t="s">
        <v>344</v>
      </c>
      <c r="C262" s="2" t="s">
        <v>570</v>
      </c>
      <c r="D262" s="4" t="s">
        <v>20</v>
      </c>
      <c r="E262" s="4">
        <v>1</v>
      </c>
      <c r="F262" s="5" t="s">
        <v>115</v>
      </c>
      <c r="G262" s="6" t="s">
        <v>595</v>
      </c>
      <c r="I262" s="4"/>
    </row>
    <row r="263" spans="1:9" ht="30" x14ac:dyDescent="0.25">
      <c r="A263" s="2">
        <f>IF(BD_Versos[[#This Row],[Tema_Principal]]="","",ROW(BD_Versos[[#This Row],[Tema_Principal]])-1)</f>
        <v>262</v>
      </c>
      <c r="B263" s="3" t="s">
        <v>344</v>
      </c>
      <c r="C263" s="2" t="s">
        <v>574</v>
      </c>
      <c r="D263" s="4" t="s">
        <v>20</v>
      </c>
      <c r="E263" s="4">
        <v>2</v>
      </c>
      <c r="F263" s="5" t="s">
        <v>115</v>
      </c>
      <c r="G263" s="6" t="s">
        <v>612</v>
      </c>
      <c r="I263" s="4"/>
    </row>
    <row r="264" spans="1:9" ht="30" x14ac:dyDescent="0.25">
      <c r="A264" s="2">
        <f>IF(BD_Versos[[#This Row],[Tema_Principal]]="","",ROW(BD_Versos[[#This Row],[Tema_Principal]])-1)</f>
        <v>263</v>
      </c>
      <c r="B264" s="3" t="s">
        <v>344</v>
      </c>
      <c r="C264" s="2" t="s">
        <v>574</v>
      </c>
      <c r="D264" s="4" t="s">
        <v>20</v>
      </c>
      <c r="E264" s="4">
        <v>1</v>
      </c>
      <c r="F264" s="5" t="s">
        <v>116</v>
      </c>
      <c r="G264" s="6" t="s">
        <v>613</v>
      </c>
      <c r="I264" s="4"/>
    </row>
    <row r="265" spans="1:9" x14ac:dyDescent="0.25">
      <c r="A265" s="2">
        <f>IF(BD_Versos[[#This Row],[Tema_Principal]]="","",ROW(BD_Versos[[#This Row],[Tema_Principal]])-1)</f>
        <v>264</v>
      </c>
      <c r="B265" s="3" t="s">
        <v>344</v>
      </c>
      <c r="C265" s="2" t="s">
        <v>574</v>
      </c>
      <c r="D265" s="4" t="s">
        <v>97</v>
      </c>
      <c r="E265" s="4">
        <v>1</v>
      </c>
      <c r="F265" s="5" t="s">
        <v>135</v>
      </c>
      <c r="G265" s="6" t="s">
        <v>614</v>
      </c>
      <c r="I265" s="4"/>
    </row>
    <row r="266" spans="1:9" ht="30" x14ac:dyDescent="0.25">
      <c r="A266" s="2">
        <f>IF(BD_Versos[[#This Row],[Tema_Principal]]="","",ROW(BD_Versos[[#This Row],[Tema_Principal]])-1)</f>
        <v>265</v>
      </c>
      <c r="B266" s="3" t="s">
        <v>344</v>
      </c>
      <c r="C266" s="2" t="s">
        <v>574</v>
      </c>
      <c r="D266" s="4" t="s">
        <v>97</v>
      </c>
      <c r="E266" s="4">
        <v>4</v>
      </c>
      <c r="F266" s="5" t="s">
        <v>31</v>
      </c>
      <c r="G266" s="6" t="s">
        <v>615</v>
      </c>
      <c r="I266" s="4"/>
    </row>
    <row r="267" spans="1:9" ht="30" x14ac:dyDescent="0.25">
      <c r="A267" s="2">
        <f>IF(BD_Versos[[#This Row],[Tema_Principal]]="","",ROW(BD_Versos[[#This Row],[Tema_Principal]])-1)</f>
        <v>266</v>
      </c>
      <c r="B267" s="3" t="s">
        <v>344</v>
      </c>
      <c r="C267" s="2" t="s">
        <v>574</v>
      </c>
      <c r="D267" s="4" t="s">
        <v>39</v>
      </c>
      <c r="E267" s="4">
        <v>14</v>
      </c>
      <c r="F267" s="5" t="s">
        <v>31</v>
      </c>
      <c r="G267" s="6" t="s">
        <v>616</v>
      </c>
      <c r="I267" s="4"/>
    </row>
    <row r="268" spans="1:9" x14ac:dyDescent="0.25">
      <c r="A268" s="2">
        <f>IF(BD_Versos[[#This Row],[Tema_Principal]]="","",ROW(BD_Versos[[#This Row],[Tema_Principal]])-1)</f>
        <v>267</v>
      </c>
      <c r="B268" s="3" t="s">
        <v>344</v>
      </c>
      <c r="C268" s="2" t="s">
        <v>574</v>
      </c>
      <c r="D268" s="4" t="s">
        <v>27</v>
      </c>
      <c r="E268" s="4">
        <v>16</v>
      </c>
      <c r="F268" s="5" t="s">
        <v>121</v>
      </c>
      <c r="G268" s="6" t="s">
        <v>617</v>
      </c>
      <c r="I268" s="4"/>
    </row>
    <row r="269" spans="1:9" x14ac:dyDescent="0.25">
      <c r="A269" s="2">
        <f>IF(BD_Versos[[#This Row],[Tema_Principal]]="","",ROW(BD_Versos[[#This Row],[Tema_Principal]])-1)</f>
        <v>268</v>
      </c>
      <c r="B269" s="3" t="s">
        <v>344</v>
      </c>
      <c r="C269" s="2" t="s">
        <v>573</v>
      </c>
      <c r="D269" s="4" t="s">
        <v>27</v>
      </c>
      <c r="E269" s="4">
        <v>16</v>
      </c>
      <c r="F269" s="5" t="s">
        <v>28</v>
      </c>
      <c r="G269" s="6" t="s">
        <v>618</v>
      </c>
      <c r="I269" s="4"/>
    </row>
    <row r="270" spans="1:9" x14ac:dyDescent="0.25">
      <c r="A270" s="2">
        <f>IF(BD_Versos[[#This Row],[Tema_Principal]]="","",ROW(BD_Versos[[#This Row],[Tema_Principal]])-1)</f>
        <v>269</v>
      </c>
      <c r="B270" s="3" t="s">
        <v>344</v>
      </c>
      <c r="C270" s="2" t="s">
        <v>573</v>
      </c>
      <c r="D270" s="4" t="s">
        <v>93</v>
      </c>
      <c r="E270" s="4">
        <v>1</v>
      </c>
      <c r="F270" s="5" t="s">
        <v>34</v>
      </c>
      <c r="G270" s="6" t="s">
        <v>619</v>
      </c>
      <c r="I270" s="4"/>
    </row>
    <row r="271" spans="1:9" ht="30" x14ac:dyDescent="0.25">
      <c r="A271" s="2">
        <f>IF(BD_Versos[[#This Row],[Tema_Principal]]="","",ROW(BD_Versos[[#This Row],[Tema_Principal]])-1)</f>
        <v>270</v>
      </c>
      <c r="B271" s="3" t="s">
        <v>344</v>
      </c>
      <c r="C271" s="2" t="s">
        <v>573</v>
      </c>
      <c r="D271" s="4" t="s">
        <v>92</v>
      </c>
      <c r="E271" s="4">
        <v>3</v>
      </c>
      <c r="F271" s="5" t="s">
        <v>46</v>
      </c>
      <c r="G271" s="6" t="s">
        <v>666</v>
      </c>
      <c r="I271" s="4"/>
    </row>
    <row r="272" spans="1:9" ht="30" x14ac:dyDescent="0.25">
      <c r="A272" s="2">
        <f>IF(BD_Versos[[#This Row],[Tema_Principal]]="","",ROW(BD_Versos[[#This Row],[Tema_Principal]])-1)</f>
        <v>271</v>
      </c>
      <c r="B272" s="3" t="s">
        <v>344</v>
      </c>
      <c r="C272" s="2" t="s">
        <v>573</v>
      </c>
      <c r="D272" s="4" t="s">
        <v>36</v>
      </c>
      <c r="E272" s="4">
        <v>3</v>
      </c>
      <c r="F272" s="5" t="s">
        <v>115</v>
      </c>
      <c r="G272" s="6" t="s">
        <v>558</v>
      </c>
      <c r="I272" s="4"/>
    </row>
    <row r="273" spans="1:9" ht="30" x14ac:dyDescent="0.25">
      <c r="A273" s="2">
        <f>IF(BD_Versos[[#This Row],[Tema_Principal]]="","",ROW(BD_Versos[[#This Row],[Tema_Principal]])-1)</f>
        <v>272</v>
      </c>
      <c r="B273" s="3" t="s">
        <v>344</v>
      </c>
      <c r="C273" s="2" t="s">
        <v>573</v>
      </c>
      <c r="D273" s="4" t="s">
        <v>575</v>
      </c>
      <c r="E273" s="4">
        <v>1</v>
      </c>
      <c r="F273" s="5" t="s">
        <v>110</v>
      </c>
      <c r="G273" s="6" t="s">
        <v>620</v>
      </c>
      <c r="I273" s="4"/>
    </row>
    <row r="274" spans="1:9" ht="45" x14ac:dyDescent="0.25">
      <c r="A274" s="2">
        <f>IF(BD_Versos[[#This Row],[Tema_Principal]]="","",ROW(BD_Versos[[#This Row],[Tema_Principal]])-1)</f>
        <v>273</v>
      </c>
      <c r="B274" s="3" t="s">
        <v>344</v>
      </c>
      <c r="C274" s="2" t="s">
        <v>573</v>
      </c>
      <c r="D274" s="4" t="s">
        <v>97</v>
      </c>
      <c r="E274" s="4">
        <v>1</v>
      </c>
      <c r="F274" s="5" t="s">
        <v>107</v>
      </c>
      <c r="G274" s="6" t="s">
        <v>621</v>
      </c>
      <c r="I274" s="4"/>
    </row>
    <row r="275" spans="1:9" ht="60" x14ac:dyDescent="0.25">
      <c r="A275" s="2">
        <f>IF(BD_Versos[[#This Row],[Tema_Principal]]="","",ROW(BD_Versos[[#This Row],[Tema_Principal]])-1)</f>
        <v>274</v>
      </c>
      <c r="B275" s="3" t="s">
        <v>344</v>
      </c>
      <c r="C275" s="2" t="s">
        <v>573</v>
      </c>
      <c r="D275" s="4" t="s">
        <v>33</v>
      </c>
      <c r="E275" s="4">
        <v>5</v>
      </c>
      <c r="F275" s="5" t="s">
        <v>578</v>
      </c>
      <c r="G275" s="6" t="s">
        <v>622</v>
      </c>
      <c r="I275" s="4"/>
    </row>
    <row r="276" spans="1:9" ht="30" x14ac:dyDescent="0.25">
      <c r="A276" s="2">
        <f>IF(BD_Versos[[#This Row],[Tema_Principal]]="","",ROW(BD_Versos[[#This Row],[Tema_Principal]])-1)</f>
        <v>275</v>
      </c>
      <c r="B276" s="3" t="s">
        <v>344</v>
      </c>
      <c r="C276" s="2" t="s">
        <v>573</v>
      </c>
      <c r="D276" s="4" t="s">
        <v>89</v>
      </c>
      <c r="E276" s="4">
        <v>10</v>
      </c>
      <c r="F276" s="5" t="s">
        <v>28</v>
      </c>
      <c r="G276" s="6" t="s">
        <v>667</v>
      </c>
      <c r="I276" s="4"/>
    </row>
    <row r="277" spans="1:9" ht="60" customHeight="1" x14ac:dyDescent="0.25">
      <c r="A277" s="2">
        <f>IF(BD_Versos[[#This Row],[Tema_Principal]]="","",ROW(BD_Versos[[#This Row],[Tema_Principal]])-1)</f>
        <v>276</v>
      </c>
      <c r="B277" s="3" t="s">
        <v>344</v>
      </c>
      <c r="C277" s="14" t="s">
        <v>579</v>
      </c>
      <c r="D277" s="4" t="s">
        <v>89</v>
      </c>
      <c r="E277" s="4">
        <v>15</v>
      </c>
      <c r="F277" s="5" t="s">
        <v>114</v>
      </c>
      <c r="G277" s="6" t="s">
        <v>550</v>
      </c>
      <c r="I277" s="4"/>
    </row>
    <row r="278" spans="1:9" ht="45" x14ac:dyDescent="0.25">
      <c r="A278" s="2">
        <f>IF(BD_Versos[[#This Row],[Tema_Principal]]="","",ROW(BD_Versos[[#This Row],[Tema_Principal]])-1)</f>
        <v>277</v>
      </c>
      <c r="B278" s="3" t="s">
        <v>344</v>
      </c>
      <c r="C278" s="2" t="s">
        <v>580</v>
      </c>
      <c r="D278" s="4" t="s">
        <v>287</v>
      </c>
      <c r="E278" s="4">
        <v>61</v>
      </c>
      <c r="F278" s="5" t="s">
        <v>25</v>
      </c>
      <c r="G278" s="6" t="s">
        <v>628</v>
      </c>
      <c r="I278" s="4"/>
    </row>
    <row r="279" spans="1:9" ht="45" x14ac:dyDescent="0.25">
      <c r="A279" s="2">
        <f>IF(BD_Versos[[#This Row],[Tema_Principal]]="","",ROW(BD_Versos[[#This Row],[Tema_Principal]])-1)</f>
        <v>278</v>
      </c>
      <c r="B279" s="3" t="s">
        <v>344</v>
      </c>
      <c r="C279" s="2" t="s">
        <v>580</v>
      </c>
      <c r="D279" s="4" t="s">
        <v>30</v>
      </c>
      <c r="E279" s="4">
        <v>2</v>
      </c>
      <c r="F279" s="5" t="s">
        <v>581</v>
      </c>
      <c r="G279" s="6" t="s">
        <v>629</v>
      </c>
      <c r="I279" s="4"/>
    </row>
    <row r="280" spans="1:9" x14ac:dyDescent="0.25">
      <c r="A280" s="2">
        <f>IF(BD_Versos[[#This Row],[Tema_Principal]]="","",ROW(BD_Versos[[#This Row],[Tema_Principal]])-1)</f>
        <v>279</v>
      </c>
      <c r="B280" s="3" t="s">
        <v>344</v>
      </c>
      <c r="C280" s="2" t="s">
        <v>580</v>
      </c>
      <c r="D280" s="4" t="s">
        <v>69</v>
      </c>
      <c r="E280" s="4">
        <v>25</v>
      </c>
      <c r="F280" s="5" t="s">
        <v>135</v>
      </c>
      <c r="G280" s="6" t="s">
        <v>668</v>
      </c>
      <c r="I280" s="4"/>
    </row>
    <row r="281" spans="1:9" ht="45" x14ac:dyDescent="0.25">
      <c r="A281" s="2">
        <f>IF(BD_Versos[[#This Row],[Tema_Principal]]="","",ROW(BD_Versos[[#This Row],[Tema_Principal]])-1)</f>
        <v>280</v>
      </c>
      <c r="B281" s="3" t="s">
        <v>344</v>
      </c>
      <c r="C281" s="2" t="s">
        <v>580</v>
      </c>
      <c r="D281" s="4" t="s">
        <v>630</v>
      </c>
      <c r="E281" s="4">
        <v>1</v>
      </c>
      <c r="F281" s="5" t="s">
        <v>28</v>
      </c>
      <c r="G281" s="6" t="s">
        <v>669</v>
      </c>
      <c r="I281" s="4"/>
    </row>
    <row r="282" spans="1:9" ht="75" x14ac:dyDescent="0.25">
      <c r="A282" s="2">
        <f>IF(BD_Versos[[#This Row],[Tema_Principal]]="","",ROW(BD_Versos[[#This Row],[Tema_Principal]])-1)</f>
        <v>281</v>
      </c>
      <c r="B282" s="3" t="s">
        <v>344</v>
      </c>
      <c r="C282" s="2" t="s">
        <v>580</v>
      </c>
      <c r="D282" s="4" t="s">
        <v>30</v>
      </c>
      <c r="E282" s="4">
        <v>3</v>
      </c>
      <c r="F282" s="5" t="s">
        <v>631</v>
      </c>
      <c r="G282" s="6" t="s">
        <v>670</v>
      </c>
      <c r="I282" s="4"/>
    </row>
    <row r="283" spans="1:9" ht="30" x14ac:dyDescent="0.25">
      <c r="A283" s="2">
        <f>IF(BD_Versos[[#This Row],[Tema_Principal]]="","",ROW(BD_Versos[[#This Row],[Tema_Principal]])-1)</f>
        <v>282</v>
      </c>
      <c r="B283" s="3" t="s">
        <v>344</v>
      </c>
      <c r="C283" s="14" t="s">
        <v>562</v>
      </c>
      <c r="D283" s="4" t="s">
        <v>89</v>
      </c>
      <c r="E283" s="4">
        <v>16</v>
      </c>
      <c r="F283" s="5" t="s">
        <v>135</v>
      </c>
      <c r="G283" s="6" t="s">
        <v>623</v>
      </c>
      <c r="I283" s="4"/>
    </row>
    <row r="284" spans="1:9" ht="30" x14ac:dyDescent="0.25">
      <c r="A284" s="2">
        <f>IF(BD_Versos[[#This Row],[Tema_Principal]]="","",ROW(BD_Versos[[#This Row],[Tema_Principal]])-1)</f>
        <v>283</v>
      </c>
      <c r="B284" s="3" t="s">
        <v>344</v>
      </c>
      <c r="C284" s="14" t="s">
        <v>562</v>
      </c>
      <c r="D284" s="4" t="s">
        <v>92</v>
      </c>
      <c r="E284" s="4">
        <v>2</v>
      </c>
      <c r="F284" s="5" t="s">
        <v>119</v>
      </c>
      <c r="G284" s="6" t="s">
        <v>624</v>
      </c>
      <c r="I284" s="4"/>
    </row>
    <row r="285" spans="1:9" ht="30" x14ac:dyDescent="0.25">
      <c r="A285" s="2">
        <f>IF(BD_Versos[[#This Row],[Tema_Principal]]="","",ROW(BD_Versos[[#This Row],[Tema_Principal]])-1)</f>
        <v>284</v>
      </c>
      <c r="B285" s="3" t="s">
        <v>344</v>
      </c>
      <c r="C285" s="2" t="s">
        <v>577</v>
      </c>
      <c r="D285" s="4" t="s">
        <v>47</v>
      </c>
      <c r="E285" s="4">
        <v>24</v>
      </c>
      <c r="F285" s="5" t="s">
        <v>44</v>
      </c>
      <c r="G285" s="6" t="s">
        <v>627</v>
      </c>
      <c r="I285" s="4"/>
    </row>
    <row r="286" spans="1:9" ht="30" x14ac:dyDescent="0.25">
      <c r="A286" s="2">
        <f>IF(BD_Versos[[#This Row],[Tema_Principal]]="","",ROW(BD_Versos[[#This Row],[Tema_Principal]])-1)</f>
        <v>285</v>
      </c>
      <c r="B286" s="3" t="s">
        <v>344</v>
      </c>
      <c r="C286" s="2" t="s">
        <v>538</v>
      </c>
      <c r="D286" s="4" t="s">
        <v>15</v>
      </c>
      <c r="E286" s="4">
        <v>1</v>
      </c>
      <c r="F286" s="5" t="s">
        <v>31</v>
      </c>
      <c r="G286" s="6" t="s">
        <v>561</v>
      </c>
      <c r="I286" s="4"/>
    </row>
    <row r="287" spans="1:9" ht="30" x14ac:dyDescent="0.25">
      <c r="A287" s="2">
        <f>IF(BD_Versos[[#This Row],[Tema_Principal]]="","",ROW(BD_Versos[[#This Row],[Tema_Principal]])-1)</f>
        <v>286</v>
      </c>
      <c r="B287" s="3" t="s">
        <v>344</v>
      </c>
      <c r="C287" s="2" t="s">
        <v>538</v>
      </c>
      <c r="D287" s="4" t="s">
        <v>15</v>
      </c>
      <c r="E287" s="4">
        <v>1</v>
      </c>
      <c r="F287" s="5" t="s">
        <v>40</v>
      </c>
      <c r="G287" s="6" t="s">
        <v>588</v>
      </c>
      <c r="I287" s="4"/>
    </row>
    <row r="288" spans="1:9" ht="45" x14ac:dyDescent="0.25">
      <c r="A288" s="2">
        <f>IF(BD_Versos[[#This Row],[Tema_Principal]]="","",ROW(BD_Versos[[#This Row],[Tema_Principal]])-1)</f>
        <v>287</v>
      </c>
      <c r="B288" s="3" t="s">
        <v>344</v>
      </c>
      <c r="C288" s="2" t="s">
        <v>538</v>
      </c>
      <c r="D288" s="4" t="s">
        <v>15</v>
      </c>
      <c r="E288" s="4">
        <v>1</v>
      </c>
      <c r="F288" s="5" t="s">
        <v>566</v>
      </c>
      <c r="G288" s="6" t="s">
        <v>589</v>
      </c>
      <c r="I288" s="4"/>
    </row>
    <row r="289" spans="1:9" ht="30" x14ac:dyDescent="0.25">
      <c r="A289" s="2">
        <f>IF(BD_Versos[[#This Row],[Tema_Principal]]="","",ROW(BD_Versos[[#This Row],[Tema_Principal]])-1)</f>
        <v>288</v>
      </c>
      <c r="B289" s="3" t="s">
        <v>344</v>
      </c>
      <c r="C289" s="2" t="s">
        <v>538</v>
      </c>
      <c r="D289" s="4" t="s">
        <v>33</v>
      </c>
      <c r="E289" s="4">
        <v>11</v>
      </c>
      <c r="F289" s="5" t="s">
        <v>119</v>
      </c>
      <c r="G289" s="6" t="s">
        <v>590</v>
      </c>
      <c r="I289" s="4"/>
    </row>
    <row r="290" spans="1:9" ht="49.5" customHeight="1" x14ac:dyDescent="0.25">
      <c r="A290" s="2">
        <f>IF(BD_Versos[[#This Row],[Tema_Principal]]="","",ROW(BD_Versos[[#This Row],[Tema_Principal]])-1)</f>
        <v>289</v>
      </c>
      <c r="B290" s="3" t="s">
        <v>639</v>
      </c>
      <c r="C290" s="2" t="s">
        <v>638</v>
      </c>
      <c r="D290" s="4" t="s">
        <v>636</v>
      </c>
      <c r="E290" s="4">
        <v>1</v>
      </c>
      <c r="F290" s="5" t="s">
        <v>38</v>
      </c>
      <c r="G290" s="6" t="s">
        <v>671</v>
      </c>
      <c r="I290" s="4"/>
    </row>
    <row r="291" spans="1:9" ht="80.25" customHeight="1" x14ac:dyDescent="0.25">
      <c r="A291" s="2">
        <f>IF(BD_Versos[[#This Row],[Tema_Principal]]="","",ROW(BD_Versos[[#This Row],[Tema_Principal]])-1)</f>
        <v>290</v>
      </c>
      <c r="B291" s="3" t="s">
        <v>639</v>
      </c>
      <c r="C291" s="2" t="s">
        <v>638</v>
      </c>
      <c r="D291" s="4" t="s">
        <v>287</v>
      </c>
      <c r="E291" s="4">
        <v>41</v>
      </c>
      <c r="F291" s="5" t="s">
        <v>116</v>
      </c>
      <c r="G291" s="6" t="s">
        <v>672</v>
      </c>
      <c r="I291" s="4"/>
    </row>
    <row r="292" spans="1:9" ht="30" x14ac:dyDescent="0.25">
      <c r="A292" s="2">
        <f>IF(BD_Versos[[#This Row],[Tema_Principal]]="","",ROW(BD_Versos[[#This Row],[Tema_Principal]])-1)</f>
        <v>291</v>
      </c>
      <c r="B292" s="3" t="s">
        <v>639</v>
      </c>
      <c r="C292" s="2" t="s">
        <v>640</v>
      </c>
      <c r="D292" s="4" t="s">
        <v>69</v>
      </c>
      <c r="E292" s="4">
        <v>3</v>
      </c>
      <c r="F292" s="5" t="s">
        <v>637</v>
      </c>
      <c r="G292" s="6" t="s">
        <v>673</v>
      </c>
      <c r="I292" s="4"/>
    </row>
    <row r="293" spans="1:9" ht="45" x14ac:dyDescent="0.25">
      <c r="A293" s="2">
        <f>IF(BD_Versos[[#This Row],[Tema_Principal]]="","",ROW(BD_Versos[[#This Row],[Tema_Principal]])-1)</f>
        <v>292</v>
      </c>
      <c r="B293" s="3" t="s">
        <v>639</v>
      </c>
      <c r="C293" s="2" t="s">
        <v>640</v>
      </c>
      <c r="D293" s="4" t="s">
        <v>97</v>
      </c>
      <c r="E293" s="4">
        <v>5</v>
      </c>
      <c r="F293" s="5" t="s">
        <v>22</v>
      </c>
      <c r="G293" s="6" t="s">
        <v>674</v>
      </c>
      <c r="I293" s="4"/>
    </row>
    <row r="294" spans="1:9" ht="58.5" customHeight="1" x14ac:dyDescent="0.25">
      <c r="A294" s="2">
        <f>IF(BD_Versos[[#This Row],[Tema_Principal]]="","",ROW(BD_Versos[[#This Row],[Tema_Principal]])-1)</f>
        <v>293</v>
      </c>
      <c r="B294" s="3" t="s">
        <v>639</v>
      </c>
      <c r="C294" s="2" t="s">
        <v>641</v>
      </c>
      <c r="D294" s="4" t="s">
        <v>287</v>
      </c>
      <c r="E294" s="4">
        <v>54</v>
      </c>
      <c r="F294" s="5" t="s">
        <v>116</v>
      </c>
      <c r="G294" s="6" t="s">
        <v>675</v>
      </c>
      <c r="I294" s="4"/>
    </row>
    <row r="295" spans="1:9" ht="47.25" customHeight="1" x14ac:dyDescent="0.25">
      <c r="A295" s="2">
        <f>IF(BD_Versos[[#This Row],[Tema_Principal]]="","",ROW(BD_Versos[[#This Row],[Tema_Principal]])-1)</f>
        <v>294</v>
      </c>
      <c r="B295" s="3" t="s">
        <v>639</v>
      </c>
      <c r="C295" s="2" t="s">
        <v>641</v>
      </c>
      <c r="D295" s="4" t="s">
        <v>68</v>
      </c>
      <c r="E295" s="4">
        <v>55</v>
      </c>
      <c r="F295" s="5" t="s">
        <v>111</v>
      </c>
      <c r="G295" s="6" t="s">
        <v>676</v>
      </c>
      <c r="I295" s="4"/>
    </row>
    <row r="296" spans="1:9" x14ac:dyDescent="0.25">
      <c r="A296" s="2">
        <f>IF(BD_Versos[[#This Row],[Tema_Principal]]="","",ROW(BD_Versos[[#This Row],[Tema_Principal]])-1)</f>
        <v>295</v>
      </c>
      <c r="B296" s="3" t="s">
        <v>642</v>
      </c>
      <c r="C296" s="2" t="s">
        <v>646</v>
      </c>
      <c r="D296" s="4" t="s">
        <v>69</v>
      </c>
      <c r="E296" s="4">
        <v>17</v>
      </c>
      <c r="F296" s="5" t="s">
        <v>111</v>
      </c>
      <c r="G296" s="6" t="s">
        <v>677</v>
      </c>
      <c r="I296" s="4"/>
    </row>
    <row r="297" spans="1:9" ht="39" customHeight="1" x14ac:dyDescent="0.25">
      <c r="A297" s="2">
        <f>IF(BD_Versos[[#This Row],[Tema_Principal]]="","",ROW(BD_Versos[[#This Row],[Tema_Principal]])-1)</f>
        <v>296</v>
      </c>
      <c r="B297" s="3" t="s">
        <v>642</v>
      </c>
      <c r="C297" s="2" t="s">
        <v>651</v>
      </c>
      <c r="D297" s="4" t="s">
        <v>68</v>
      </c>
      <c r="E297" s="4">
        <v>4</v>
      </c>
      <c r="F297" s="5" t="s">
        <v>25</v>
      </c>
      <c r="G297" s="6" t="s">
        <v>678</v>
      </c>
      <c r="I297" s="4"/>
    </row>
    <row r="298" spans="1:9" ht="70.5" customHeight="1" x14ac:dyDescent="0.25">
      <c r="A298" s="2">
        <f>IF(BD_Versos[[#This Row],[Tema_Principal]]="","",ROW(BD_Versos[[#This Row],[Tema_Principal]])-1)</f>
        <v>297</v>
      </c>
      <c r="B298" s="3" t="s">
        <v>642</v>
      </c>
      <c r="C298" s="2" t="s">
        <v>651</v>
      </c>
      <c r="D298" s="4" t="s">
        <v>68</v>
      </c>
      <c r="E298" s="4">
        <v>5</v>
      </c>
      <c r="F298" s="5" t="s">
        <v>25</v>
      </c>
      <c r="G298" s="6" t="s">
        <v>679</v>
      </c>
      <c r="I298" s="4"/>
    </row>
    <row r="299" spans="1:9" ht="30" x14ac:dyDescent="0.25">
      <c r="A299" s="2">
        <f>IF(BD_Versos[[#This Row],[Tema_Principal]]="","",ROW(BD_Versos[[#This Row],[Tema_Principal]])-1)</f>
        <v>298</v>
      </c>
      <c r="B299" s="3" t="s">
        <v>642</v>
      </c>
      <c r="C299" s="2" t="s">
        <v>651</v>
      </c>
      <c r="D299" s="4" t="s">
        <v>68</v>
      </c>
      <c r="E299" s="4">
        <v>6</v>
      </c>
      <c r="F299" s="5" t="s">
        <v>652</v>
      </c>
      <c r="G299" s="6" t="s">
        <v>680</v>
      </c>
      <c r="I299" s="4"/>
    </row>
    <row r="300" spans="1:9" ht="30" x14ac:dyDescent="0.25">
      <c r="A300" s="2">
        <f>IF(BD_Versos[[#This Row],[Tema_Principal]]="","",ROW(BD_Versos[[#This Row],[Tema_Principal]])-1)</f>
        <v>299</v>
      </c>
      <c r="B300" s="3" t="s">
        <v>642</v>
      </c>
      <c r="C300" s="2" t="s">
        <v>661</v>
      </c>
      <c r="D300" s="4" t="s">
        <v>287</v>
      </c>
      <c r="E300" s="4">
        <v>53</v>
      </c>
      <c r="F300" s="5" t="s">
        <v>35</v>
      </c>
      <c r="G300" s="6" t="s">
        <v>681</v>
      </c>
      <c r="I300" s="4"/>
    </row>
    <row r="301" spans="1:9" ht="30" x14ac:dyDescent="0.25">
      <c r="A301" s="2">
        <f>IF(BD_Versos[[#This Row],[Tema_Principal]]="","",ROW(BD_Versos[[#This Row],[Tema_Principal]])-1)</f>
        <v>300</v>
      </c>
      <c r="B301" s="3" t="s">
        <v>642</v>
      </c>
      <c r="C301" s="2" t="s">
        <v>661</v>
      </c>
      <c r="D301" s="4" t="s">
        <v>47</v>
      </c>
      <c r="E301" s="4">
        <v>26</v>
      </c>
      <c r="F301" s="5" t="s">
        <v>662</v>
      </c>
      <c r="G301" s="6" t="s">
        <v>682</v>
      </c>
      <c r="I301" s="4"/>
    </row>
    <row r="302" spans="1:9" ht="45" x14ac:dyDescent="0.25">
      <c r="A302" s="2">
        <f>IF(BD_Versos[[#This Row],[Tema_Principal]]="","",ROW(BD_Versos[[#This Row],[Tema_Principal]])-1)</f>
        <v>301</v>
      </c>
      <c r="B302" s="3" t="s">
        <v>642</v>
      </c>
      <c r="C302" s="2" t="s">
        <v>658</v>
      </c>
      <c r="D302" s="4" t="s">
        <v>47</v>
      </c>
      <c r="E302" s="4">
        <v>11</v>
      </c>
      <c r="F302" s="5" t="s">
        <v>657</v>
      </c>
      <c r="G302" s="6" t="s">
        <v>683</v>
      </c>
      <c r="H302" s="4" t="s">
        <v>659</v>
      </c>
      <c r="I302" s="4"/>
    </row>
    <row r="303" spans="1:9" ht="67.5" customHeight="1" x14ac:dyDescent="0.25">
      <c r="A303" s="2">
        <f>IF(BD_Versos[[#This Row],[Tema_Principal]]="","",ROW(BD_Versos[[#This Row],[Tema_Principal]])-1)</f>
        <v>302</v>
      </c>
      <c r="B303" s="3" t="s">
        <v>642</v>
      </c>
      <c r="C303" s="2" t="s">
        <v>658</v>
      </c>
      <c r="D303" s="4" t="s">
        <v>97</v>
      </c>
      <c r="E303" s="4">
        <v>5</v>
      </c>
      <c r="F303" s="5" t="s">
        <v>660</v>
      </c>
      <c r="G303" s="6" t="s">
        <v>684</v>
      </c>
      <c r="I303" s="4"/>
    </row>
    <row r="304" spans="1:9" ht="75.75" customHeight="1" x14ac:dyDescent="0.25">
      <c r="A304" s="2">
        <f>IF(BD_Versos[[#This Row],[Tema_Principal]]="","",ROW(BD_Versos[[#This Row],[Tema_Principal]])-1)</f>
        <v>303</v>
      </c>
      <c r="B304" s="3" t="s">
        <v>642</v>
      </c>
      <c r="C304" s="2" t="s">
        <v>663</v>
      </c>
      <c r="D304" s="4" t="s">
        <v>24</v>
      </c>
      <c r="E304" s="4">
        <v>4</v>
      </c>
      <c r="F304" s="5" t="s">
        <v>664</v>
      </c>
      <c r="G304" s="6" t="s">
        <v>685</v>
      </c>
      <c r="I304" s="4"/>
    </row>
    <row r="305" spans="1:9" ht="30" x14ac:dyDescent="0.25">
      <c r="A305" s="2">
        <f>IF(BD_Versos[[#This Row],[Tema_Principal]]="","",ROW(BD_Versos[[#This Row],[Tema_Principal]])-1)</f>
        <v>304</v>
      </c>
      <c r="B305" s="3" t="s">
        <v>642</v>
      </c>
      <c r="C305" s="2" t="s">
        <v>643</v>
      </c>
      <c r="D305" s="4" t="s">
        <v>33</v>
      </c>
      <c r="E305" s="4">
        <v>7</v>
      </c>
      <c r="F305" s="5" t="s">
        <v>116</v>
      </c>
      <c r="G305" s="6" t="s">
        <v>686</v>
      </c>
      <c r="I305" s="4"/>
    </row>
    <row r="306" spans="1:9" ht="45" x14ac:dyDescent="0.25">
      <c r="A306" s="2">
        <f>IF(BD_Versos[[#This Row],[Tema_Principal]]="","",ROW(BD_Versos[[#This Row],[Tema_Principal]])-1)</f>
        <v>305</v>
      </c>
      <c r="B306" s="3" t="s">
        <v>642</v>
      </c>
      <c r="C306" s="2" t="s">
        <v>645</v>
      </c>
      <c r="D306" s="4" t="s">
        <v>74</v>
      </c>
      <c r="E306" s="4">
        <v>3</v>
      </c>
      <c r="F306" s="5" t="s">
        <v>644</v>
      </c>
      <c r="G306" s="6" t="s">
        <v>687</v>
      </c>
      <c r="I306" s="4"/>
    </row>
    <row r="307" spans="1:9" ht="178.5" customHeight="1" x14ac:dyDescent="0.25">
      <c r="A307" s="2">
        <f>IF(BD_Versos[[#This Row],[Tema_Principal]]="","",ROW(BD_Versos[[#This Row],[Tema_Principal]])-1)</f>
        <v>306</v>
      </c>
      <c r="B307" s="3" t="s">
        <v>642</v>
      </c>
      <c r="C307" s="2" t="s">
        <v>645</v>
      </c>
      <c r="D307" s="4" t="s">
        <v>96</v>
      </c>
      <c r="E307" s="4">
        <v>4</v>
      </c>
      <c r="F307" s="5" t="s">
        <v>38</v>
      </c>
      <c r="G307" s="6" t="s">
        <v>688</v>
      </c>
      <c r="I307" s="4"/>
    </row>
    <row r="308" spans="1:9" ht="180" x14ac:dyDescent="0.25">
      <c r="A308" s="2">
        <f>IF(BD_Versos[[#This Row],[Tema_Principal]]="","",ROW(BD_Versos[[#This Row],[Tema_Principal]])-1)</f>
        <v>307</v>
      </c>
      <c r="B308" s="3" t="s">
        <v>642</v>
      </c>
      <c r="C308" s="2" t="s">
        <v>647</v>
      </c>
      <c r="D308" s="4" t="s">
        <v>88</v>
      </c>
      <c r="E308" s="4">
        <v>16</v>
      </c>
      <c r="F308" s="5" t="s">
        <v>648</v>
      </c>
      <c r="G308" s="6" t="s">
        <v>689</v>
      </c>
      <c r="I308" s="4"/>
    </row>
    <row r="309" spans="1:9" ht="30" x14ac:dyDescent="0.25">
      <c r="A309" s="2">
        <f>IF(BD_Versos[[#This Row],[Tema_Principal]]="","",ROW(BD_Versos[[#This Row],[Tema_Principal]])-1)</f>
        <v>308</v>
      </c>
      <c r="B309" s="3" t="s">
        <v>642</v>
      </c>
      <c r="C309" s="2" t="s">
        <v>649</v>
      </c>
      <c r="D309" s="4" t="s">
        <v>15</v>
      </c>
      <c r="E309" s="4">
        <v>5</v>
      </c>
      <c r="F309" s="5" t="s">
        <v>650</v>
      </c>
      <c r="G309" s="6" t="s">
        <v>690</v>
      </c>
      <c r="I309" s="4"/>
    </row>
    <row r="310" spans="1:9" x14ac:dyDescent="0.25">
      <c r="A310" s="2">
        <f>IF(BD_Versos[[#This Row],[Tema_Principal]]="","",ROW(BD_Versos[[#This Row],[Tema_Principal]])-1)</f>
        <v>309</v>
      </c>
      <c r="B310" s="3" t="s">
        <v>642</v>
      </c>
      <c r="C310" s="2" t="s">
        <v>653</v>
      </c>
      <c r="D310" s="4" t="s">
        <v>96</v>
      </c>
      <c r="E310" s="4">
        <v>5</v>
      </c>
      <c r="F310" s="5" t="s">
        <v>110</v>
      </c>
      <c r="G310" s="6" t="s">
        <v>691</v>
      </c>
      <c r="I310" s="4"/>
    </row>
    <row r="311" spans="1:9" ht="45" x14ac:dyDescent="0.25">
      <c r="A311" s="2">
        <f>IF(BD_Versos[[#This Row],[Tema_Principal]]="","",ROW(BD_Versos[[#This Row],[Tema_Principal]])-1)</f>
        <v>310</v>
      </c>
      <c r="B311" s="3" t="s">
        <v>642</v>
      </c>
      <c r="C311" s="2" t="s">
        <v>653</v>
      </c>
      <c r="D311" s="4" t="s">
        <v>17</v>
      </c>
      <c r="E311" s="4">
        <v>4</v>
      </c>
      <c r="F311" s="5" t="s">
        <v>660</v>
      </c>
      <c r="G311" s="6" t="s">
        <v>692</v>
      </c>
      <c r="I311" s="4"/>
    </row>
    <row r="312" spans="1:9" ht="90" x14ac:dyDescent="0.25">
      <c r="A312" s="2">
        <f>IF(BD_Versos[[#This Row],[Tema_Principal]]="","",ROW(BD_Versos[[#This Row],[Tema_Principal]])-1)</f>
        <v>311</v>
      </c>
      <c r="B312" s="3" t="s">
        <v>642</v>
      </c>
      <c r="C312" s="2" t="s">
        <v>654</v>
      </c>
      <c r="D312" s="4" t="s">
        <v>97</v>
      </c>
      <c r="E312" s="4">
        <v>1</v>
      </c>
      <c r="F312" s="5" t="s">
        <v>655</v>
      </c>
      <c r="G312" s="6" t="s">
        <v>693</v>
      </c>
      <c r="I312" s="4"/>
    </row>
    <row r="313" spans="1:9" ht="60" x14ac:dyDescent="0.25">
      <c r="A313" s="2">
        <f>IF(BD_Versos[[#This Row],[Tema_Principal]]="","",ROW(BD_Versos[[#This Row],[Tema_Principal]])-1)</f>
        <v>312</v>
      </c>
      <c r="B313" s="3" t="s">
        <v>642</v>
      </c>
      <c r="C313" s="2" t="s">
        <v>654</v>
      </c>
      <c r="D313" s="4" t="s">
        <v>89</v>
      </c>
      <c r="E313" s="4">
        <v>5</v>
      </c>
      <c r="F313" s="5" t="s">
        <v>656</v>
      </c>
      <c r="G313" s="6" t="s">
        <v>758</v>
      </c>
      <c r="I313" s="4"/>
    </row>
    <row r="314" spans="1:9" ht="49.5" customHeight="1" x14ac:dyDescent="0.25">
      <c r="A314" s="2">
        <f>IF(BD_Versos[[#This Row],[Tema_Principal]]="","",ROW(BD_Versos[[#This Row],[Tema_Principal]])-1)</f>
        <v>313</v>
      </c>
      <c r="B314" s="3" t="s">
        <v>700</v>
      </c>
      <c r="C314" s="6" t="s">
        <v>694</v>
      </c>
      <c r="D314" s="4" t="s">
        <v>30</v>
      </c>
      <c r="E314" s="4">
        <v>4</v>
      </c>
      <c r="F314" s="5" t="s">
        <v>294</v>
      </c>
      <c r="G314" s="6" t="s">
        <v>759</v>
      </c>
      <c r="H314" s="6"/>
      <c r="I314" s="4"/>
    </row>
    <row r="315" spans="1:9" ht="51.75" customHeight="1" x14ac:dyDescent="0.25">
      <c r="A315" s="2">
        <f>IF(BD_Versos[[#This Row],[Tema_Principal]]="","",ROW(BD_Versos[[#This Row],[Tema_Principal]])-1)</f>
        <v>314</v>
      </c>
      <c r="B315" s="3" t="s">
        <v>700</v>
      </c>
      <c r="C315" s="6" t="s">
        <v>694</v>
      </c>
      <c r="D315" s="4" t="s">
        <v>30</v>
      </c>
      <c r="E315" s="4">
        <v>8</v>
      </c>
      <c r="F315" s="5" t="s">
        <v>25</v>
      </c>
      <c r="G315" s="6" t="s">
        <v>760</v>
      </c>
      <c r="H315" s="6"/>
      <c r="I315" s="4"/>
    </row>
    <row r="316" spans="1:9" ht="30" x14ac:dyDescent="0.25">
      <c r="A316" s="2">
        <f>IF(BD_Versos[[#This Row],[Tema_Principal]]="","",ROW(BD_Versos[[#This Row],[Tema_Principal]])-1)</f>
        <v>315</v>
      </c>
      <c r="B316" s="3" t="s">
        <v>700</v>
      </c>
      <c r="C316" s="6" t="s">
        <v>695</v>
      </c>
      <c r="D316" s="4" t="s">
        <v>89</v>
      </c>
      <c r="E316" s="4">
        <v>1</v>
      </c>
      <c r="F316" s="5" t="s">
        <v>121</v>
      </c>
      <c r="G316" s="6" t="s">
        <v>761</v>
      </c>
      <c r="H316" s="6"/>
      <c r="I316" s="4"/>
    </row>
    <row r="317" spans="1:9" ht="30" x14ac:dyDescent="0.25">
      <c r="A317" s="2">
        <f>IF(BD_Versos[[#This Row],[Tema_Principal]]="","",ROW(BD_Versos[[#This Row],[Tema_Principal]])-1)</f>
        <v>316</v>
      </c>
      <c r="B317" s="3" t="s">
        <v>700</v>
      </c>
      <c r="C317" s="6" t="s">
        <v>696</v>
      </c>
      <c r="D317" s="4" t="s">
        <v>89</v>
      </c>
      <c r="E317" s="4">
        <v>1</v>
      </c>
      <c r="F317" s="5" t="s">
        <v>297</v>
      </c>
      <c r="G317" s="6" t="s">
        <v>625</v>
      </c>
      <c r="H317" s="6"/>
      <c r="I317" s="4"/>
    </row>
    <row r="318" spans="1:9" ht="30" x14ac:dyDescent="0.25">
      <c r="A318" s="2">
        <f>IF(BD_Versos[[#This Row],[Tema_Principal]]="","",ROW(BD_Versos[[#This Row],[Tema_Principal]])-1)</f>
        <v>317</v>
      </c>
      <c r="B318" s="3" t="s">
        <v>700</v>
      </c>
      <c r="C318" s="6" t="s">
        <v>698</v>
      </c>
      <c r="D318" s="4" t="s">
        <v>36</v>
      </c>
      <c r="E318" s="4">
        <v>6</v>
      </c>
      <c r="F318" s="5" t="s">
        <v>28</v>
      </c>
      <c r="G318" s="6" t="s">
        <v>626</v>
      </c>
      <c r="H318" s="6"/>
      <c r="I318" s="4"/>
    </row>
    <row r="319" spans="1:9" ht="60" x14ac:dyDescent="0.25">
      <c r="A319" s="2">
        <f>IF(BD_Versos[[#This Row],[Tema_Principal]]="","",ROW(BD_Versos[[#This Row],[Tema_Principal]])-1)</f>
        <v>318</v>
      </c>
      <c r="B319" s="3" t="s">
        <v>700</v>
      </c>
      <c r="C319" s="6" t="s">
        <v>698</v>
      </c>
      <c r="D319" s="4" t="s">
        <v>33</v>
      </c>
      <c r="E319" s="4">
        <v>5</v>
      </c>
      <c r="F319" s="5" t="s">
        <v>578</v>
      </c>
      <c r="G319" s="6" t="s">
        <v>622</v>
      </c>
      <c r="H319" s="6"/>
      <c r="I319" s="4"/>
    </row>
    <row r="320" spans="1:9" ht="30" x14ac:dyDescent="0.25">
      <c r="A320" s="2">
        <f>IF(BD_Versos[[#This Row],[Tema_Principal]]="","",ROW(BD_Versos[[#This Row],[Tema_Principal]])-1)</f>
        <v>319</v>
      </c>
      <c r="B320" s="3" t="s">
        <v>700</v>
      </c>
      <c r="C320" s="6" t="s">
        <v>587</v>
      </c>
      <c r="D320" s="4" t="s">
        <v>15</v>
      </c>
      <c r="E320" s="4">
        <v>1</v>
      </c>
      <c r="F320" s="5" t="s">
        <v>34</v>
      </c>
      <c r="G320" s="6" t="s">
        <v>591</v>
      </c>
      <c r="H320" s="6"/>
      <c r="I320" s="4"/>
    </row>
    <row r="321" spans="1:9" ht="30" x14ac:dyDescent="0.25">
      <c r="A321" s="2">
        <f>IF(BD_Versos[[#This Row],[Tema_Principal]]="","",ROW(BD_Versos[[#This Row],[Tema_Principal]])-1)</f>
        <v>320</v>
      </c>
      <c r="B321" s="3" t="s">
        <v>700</v>
      </c>
      <c r="C321" s="6" t="s">
        <v>587</v>
      </c>
      <c r="D321" s="4" t="s">
        <v>92</v>
      </c>
      <c r="E321" s="4">
        <v>2</v>
      </c>
      <c r="F321" s="5" t="s">
        <v>119</v>
      </c>
      <c r="G321" s="6" t="s">
        <v>624</v>
      </c>
      <c r="H321" s="6"/>
      <c r="I321" s="4"/>
    </row>
    <row r="322" spans="1:9" ht="30" x14ac:dyDescent="0.25">
      <c r="A322" s="2">
        <f>IF(BD_Versos[[#This Row],[Tema_Principal]]="","",ROW(BD_Versos[[#This Row],[Tema_Principal]])-1)</f>
        <v>321</v>
      </c>
      <c r="B322" s="3" t="s">
        <v>700</v>
      </c>
      <c r="C322" s="6" t="s">
        <v>697</v>
      </c>
      <c r="D322" s="4" t="s">
        <v>36</v>
      </c>
      <c r="E322" s="4">
        <v>6</v>
      </c>
      <c r="F322" s="5" t="s">
        <v>134</v>
      </c>
      <c r="G322" s="6" t="s">
        <v>599</v>
      </c>
      <c r="H322" s="6"/>
      <c r="I322" s="4"/>
    </row>
    <row r="323" spans="1:9" ht="45" x14ac:dyDescent="0.25">
      <c r="A323" s="2">
        <f>IF(BD_Versos[[#This Row],[Tema_Principal]]="","",ROW(BD_Versos[[#This Row],[Tema_Principal]])-1)</f>
        <v>322</v>
      </c>
      <c r="B323" s="3" t="s">
        <v>700</v>
      </c>
      <c r="C323" s="6" t="s">
        <v>699</v>
      </c>
      <c r="D323" s="4" t="s">
        <v>47</v>
      </c>
      <c r="E323" s="4">
        <v>24</v>
      </c>
      <c r="F323" s="5" t="s">
        <v>44</v>
      </c>
      <c r="G323" s="6" t="s">
        <v>627</v>
      </c>
      <c r="H323" s="6"/>
      <c r="I323" s="4"/>
    </row>
    <row r="324" spans="1:9" ht="45" x14ac:dyDescent="0.25">
      <c r="A324" s="2">
        <f>IF(BD_Versos[[#This Row],[Tema_Principal]]="","",ROW(BD_Versos[[#This Row],[Tema_Principal]])-1)</f>
        <v>323</v>
      </c>
      <c r="B324" s="3" t="s">
        <v>700</v>
      </c>
      <c r="C324" s="6" t="s">
        <v>699</v>
      </c>
      <c r="D324" s="4" t="s">
        <v>27</v>
      </c>
      <c r="E324" s="4">
        <v>16</v>
      </c>
      <c r="F324" s="5" t="s">
        <v>28</v>
      </c>
      <c r="G324" s="6" t="s">
        <v>618</v>
      </c>
      <c r="H324" s="6"/>
      <c r="I324" s="4"/>
    </row>
    <row r="325" spans="1:9" ht="30" x14ac:dyDescent="0.25">
      <c r="A325" s="2">
        <f>IF(BD_Versos[[#This Row],[Tema_Principal]]="","",ROW(BD_Versos[[#This Row],[Tema_Principal]])-1)</f>
        <v>324</v>
      </c>
      <c r="B325" s="3" t="s">
        <v>701</v>
      </c>
      <c r="C325" s="3" t="s">
        <v>702</v>
      </c>
      <c r="D325" s="4" t="s">
        <v>47</v>
      </c>
      <c r="E325" s="4">
        <v>24</v>
      </c>
      <c r="F325" s="5" t="s">
        <v>44</v>
      </c>
      <c r="G325" s="6" t="s">
        <v>627</v>
      </c>
      <c r="I325" s="4"/>
    </row>
    <row r="326" spans="1:9" ht="45" x14ac:dyDescent="0.25">
      <c r="A326" s="2">
        <f>IF(BD_Versos[[#This Row],[Tema_Principal]]="","",ROW(BD_Versos[[#This Row],[Tema_Principal]])-1)</f>
        <v>325</v>
      </c>
      <c r="B326" s="3" t="s">
        <v>701</v>
      </c>
      <c r="C326" s="3" t="s">
        <v>727</v>
      </c>
      <c r="D326" s="4" t="s">
        <v>30</v>
      </c>
      <c r="E326" s="4">
        <v>5</v>
      </c>
      <c r="F326" s="5" t="s">
        <v>728</v>
      </c>
      <c r="G326" s="6" t="s">
        <v>762</v>
      </c>
      <c r="I326" s="4"/>
    </row>
    <row r="327" spans="1:9" ht="30" x14ac:dyDescent="0.25">
      <c r="A327" s="2">
        <f>IF(BD_Versos[[#This Row],[Tema_Principal]]="","",ROW(BD_Versos[[#This Row],[Tema_Principal]])-1)</f>
        <v>326</v>
      </c>
      <c r="B327" s="3" t="s">
        <v>701</v>
      </c>
      <c r="C327" s="3" t="s">
        <v>703</v>
      </c>
      <c r="D327" s="4" t="s">
        <v>10</v>
      </c>
      <c r="E327" s="4">
        <v>8</v>
      </c>
      <c r="F327" s="5" t="s">
        <v>107</v>
      </c>
      <c r="G327" s="6" t="s">
        <v>763</v>
      </c>
      <c r="I327" s="4"/>
    </row>
    <row r="328" spans="1:9" ht="45" x14ac:dyDescent="0.25">
      <c r="A328" s="2">
        <f>IF(BD_Versos[[#This Row],[Tema_Principal]]="","",ROW(BD_Versos[[#This Row],[Tema_Principal]])-1)</f>
        <v>327</v>
      </c>
      <c r="B328" s="3" t="s">
        <v>701</v>
      </c>
      <c r="C328" s="3" t="s">
        <v>703</v>
      </c>
      <c r="D328" s="4" t="s">
        <v>17</v>
      </c>
      <c r="E328" s="4">
        <v>1</v>
      </c>
      <c r="F328" s="5" t="s">
        <v>571</v>
      </c>
      <c r="G328" s="6" t="s">
        <v>610</v>
      </c>
      <c r="I328" s="4"/>
    </row>
    <row r="329" spans="1:9" ht="45" x14ac:dyDescent="0.25">
      <c r="A329" s="2">
        <f>IF(BD_Versos[[#This Row],[Tema_Principal]]="","",ROW(BD_Versos[[#This Row],[Tema_Principal]])-1)</f>
        <v>328</v>
      </c>
      <c r="B329" s="3" t="s">
        <v>701</v>
      </c>
      <c r="C329" s="3" t="s">
        <v>703</v>
      </c>
      <c r="D329" s="4" t="s">
        <v>91</v>
      </c>
      <c r="E329" s="4">
        <v>1</v>
      </c>
      <c r="F329" s="5" t="s">
        <v>295</v>
      </c>
      <c r="G329" s="6" t="s">
        <v>611</v>
      </c>
      <c r="I329" s="4"/>
    </row>
    <row r="330" spans="1:9" ht="30" x14ac:dyDescent="0.25">
      <c r="A330" s="2">
        <f>IF(BD_Versos[[#This Row],[Tema_Principal]]="","",ROW(BD_Versos[[#This Row],[Tema_Principal]])-1)</f>
        <v>329</v>
      </c>
      <c r="B330" s="3" t="s">
        <v>701</v>
      </c>
      <c r="C330" s="3" t="s">
        <v>704</v>
      </c>
      <c r="D330" s="4" t="s">
        <v>89</v>
      </c>
      <c r="E330" s="4">
        <v>1</v>
      </c>
      <c r="F330" s="5" t="s">
        <v>121</v>
      </c>
      <c r="G330" s="6" t="s">
        <v>761</v>
      </c>
      <c r="I330" s="4"/>
    </row>
    <row r="331" spans="1:9" ht="30" x14ac:dyDescent="0.25">
      <c r="A331" s="2">
        <f>IF(BD_Versos[[#This Row],[Tema_Principal]]="","",ROW(BD_Versos[[#This Row],[Tema_Principal]])-1)</f>
        <v>330</v>
      </c>
      <c r="B331" s="3" t="s">
        <v>701</v>
      </c>
      <c r="C331" s="3" t="s">
        <v>705</v>
      </c>
      <c r="D331" s="4" t="s">
        <v>89</v>
      </c>
      <c r="E331" s="4">
        <v>1</v>
      </c>
      <c r="F331" s="5" t="s">
        <v>297</v>
      </c>
      <c r="G331" s="6" t="s">
        <v>625</v>
      </c>
      <c r="I331" s="4"/>
    </row>
    <row r="332" spans="1:9" ht="58.5" customHeight="1" x14ac:dyDescent="0.25">
      <c r="A332" s="2">
        <f>IF(BD_Versos[[#This Row],[Tema_Principal]]="","",ROW(BD_Versos[[#This Row],[Tema_Principal]])-1)</f>
        <v>331</v>
      </c>
      <c r="B332" s="3" t="s">
        <v>701</v>
      </c>
      <c r="C332" s="3" t="s">
        <v>705</v>
      </c>
      <c r="D332" s="4" t="s">
        <v>89</v>
      </c>
      <c r="E332" s="4">
        <v>3</v>
      </c>
      <c r="F332" s="5" t="s">
        <v>119</v>
      </c>
      <c r="G332" s="6" t="s">
        <v>764</v>
      </c>
      <c r="H332" s="4" t="s">
        <v>714</v>
      </c>
      <c r="I332" s="4"/>
    </row>
    <row r="333" spans="1:9" ht="30" x14ac:dyDescent="0.25">
      <c r="A333" s="2">
        <f>IF(BD_Versos[[#This Row],[Tema_Principal]]="","",ROW(BD_Versos[[#This Row],[Tema_Principal]])-1)</f>
        <v>332</v>
      </c>
      <c r="B333" s="3" t="s">
        <v>701</v>
      </c>
      <c r="C333" s="3" t="s">
        <v>705</v>
      </c>
      <c r="D333" s="4" t="s">
        <v>89</v>
      </c>
      <c r="E333" s="4">
        <v>3</v>
      </c>
      <c r="F333" s="5" t="s">
        <v>32</v>
      </c>
      <c r="G333" s="6" t="s">
        <v>765</v>
      </c>
      <c r="H333" s="4" t="s">
        <v>714</v>
      </c>
      <c r="I333" s="4"/>
    </row>
    <row r="334" spans="1:9" ht="60" x14ac:dyDescent="0.25">
      <c r="A334" s="2">
        <f>IF(BD_Versos[[#This Row],[Tema_Principal]]="","",ROW(BD_Versos[[#This Row],[Tema_Principal]])-1)</f>
        <v>333</v>
      </c>
      <c r="B334" s="3" t="s">
        <v>701</v>
      </c>
      <c r="C334" s="3" t="s">
        <v>705</v>
      </c>
      <c r="D334" s="4" t="s">
        <v>89</v>
      </c>
      <c r="E334" s="4">
        <v>3</v>
      </c>
      <c r="F334" s="5" t="s">
        <v>716</v>
      </c>
      <c r="G334" s="6" t="s">
        <v>766</v>
      </c>
      <c r="H334" s="4" t="s">
        <v>714</v>
      </c>
      <c r="I334" s="4"/>
    </row>
    <row r="335" spans="1:9" ht="60" x14ac:dyDescent="0.25">
      <c r="A335" s="2">
        <f>IF(BD_Versos[[#This Row],[Tema_Principal]]="","",ROW(BD_Versos[[#This Row],[Tema_Principal]])-1)</f>
        <v>334</v>
      </c>
      <c r="B335" s="3" t="s">
        <v>701</v>
      </c>
      <c r="C335" s="3" t="s">
        <v>705</v>
      </c>
      <c r="D335" s="4" t="s">
        <v>37</v>
      </c>
      <c r="E335" s="4">
        <v>1</v>
      </c>
      <c r="F335" s="5" t="s">
        <v>572</v>
      </c>
      <c r="G335" s="6" t="s">
        <v>609</v>
      </c>
      <c r="I335" s="4"/>
    </row>
    <row r="336" spans="1:9" ht="30" x14ac:dyDescent="0.25">
      <c r="A336" s="2">
        <f>IF(BD_Versos[[#This Row],[Tema_Principal]]="","",ROW(BD_Versos[[#This Row],[Tema_Principal]])-1)</f>
        <v>335</v>
      </c>
      <c r="B336" s="3" t="s">
        <v>701</v>
      </c>
      <c r="C336" s="3" t="s">
        <v>706</v>
      </c>
      <c r="D336" s="4" t="s">
        <v>36</v>
      </c>
      <c r="E336" s="4">
        <v>2</v>
      </c>
      <c r="F336" s="5" t="s">
        <v>297</v>
      </c>
      <c r="G336" s="6" t="s">
        <v>665</v>
      </c>
      <c r="H336" s="4" t="s">
        <v>710</v>
      </c>
      <c r="I336" s="4"/>
    </row>
    <row r="337" spans="1:9" ht="30" x14ac:dyDescent="0.25">
      <c r="A337" s="2">
        <f>IF(BD_Versos[[#This Row],[Tema_Principal]]="","",ROW(BD_Versos[[#This Row],[Tema_Principal]])-1)</f>
        <v>336</v>
      </c>
      <c r="B337" s="3" t="s">
        <v>701</v>
      </c>
      <c r="C337" s="3" t="s">
        <v>706</v>
      </c>
      <c r="D337" s="4" t="s">
        <v>36</v>
      </c>
      <c r="E337" s="4">
        <v>3</v>
      </c>
      <c r="F337" s="5" t="s">
        <v>31</v>
      </c>
      <c r="G337" s="6" t="s">
        <v>604</v>
      </c>
      <c r="H337" s="4" t="s">
        <v>711</v>
      </c>
      <c r="I337" s="4"/>
    </row>
    <row r="338" spans="1:9" ht="30" x14ac:dyDescent="0.25">
      <c r="A338" s="2">
        <f>IF(BD_Versos[[#This Row],[Tema_Principal]]="","",ROW(BD_Versos[[#This Row],[Tema_Principal]])-1)</f>
        <v>337</v>
      </c>
      <c r="B338" s="3" t="s">
        <v>701</v>
      </c>
      <c r="C338" s="3" t="s">
        <v>707</v>
      </c>
      <c r="D338" s="4" t="s">
        <v>12</v>
      </c>
      <c r="E338" s="4">
        <v>1</v>
      </c>
      <c r="F338" s="5" t="s">
        <v>297</v>
      </c>
      <c r="G338" s="6" t="s">
        <v>767</v>
      </c>
      <c r="I338" s="4"/>
    </row>
    <row r="339" spans="1:9" ht="30" x14ac:dyDescent="0.25">
      <c r="A339" s="2">
        <f>IF(BD_Versos[[#This Row],[Tema_Principal]]="","",ROW(BD_Versos[[#This Row],[Tema_Principal]])-1)</f>
        <v>338</v>
      </c>
      <c r="B339" s="3" t="s">
        <v>701</v>
      </c>
      <c r="C339" s="3" t="s">
        <v>707</v>
      </c>
      <c r="D339" s="4" t="s">
        <v>20</v>
      </c>
      <c r="E339" s="4">
        <v>1</v>
      </c>
      <c r="F339" s="5" t="s">
        <v>116</v>
      </c>
      <c r="G339" s="6" t="s">
        <v>613</v>
      </c>
      <c r="I339" s="4"/>
    </row>
    <row r="340" spans="1:9" ht="30" x14ac:dyDescent="0.25">
      <c r="A340" s="2">
        <f>IF(BD_Versos[[#This Row],[Tema_Principal]]="","",ROW(BD_Versos[[#This Row],[Tema_Principal]])-1)</f>
        <v>339</v>
      </c>
      <c r="B340" s="3" t="s">
        <v>701</v>
      </c>
      <c r="C340" s="3" t="s">
        <v>708</v>
      </c>
      <c r="D340" s="4" t="s">
        <v>12</v>
      </c>
      <c r="E340" s="4">
        <v>4</v>
      </c>
      <c r="F340" s="5" t="s">
        <v>28</v>
      </c>
      <c r="G340" s="6" t="s">
        <v>768</v>
      </c>
      <c r="I340" s="4"/>
    </row>
    <row r="341" spans="1:9" ht="30" x14ac:dyDescent="0.25">
      <c r="A341" s="2">
        <f>IF(BD_Versos[[#This Row],[Tema_Principal]]="","",ROW(BD_Versos[[#This Row],[Tema_Principal]])-1)</f>
        <v>340</v>
      </c>
      <c r="B341" s="3" t="s">
        <v>701</v>
      </c>
      <c r="C341" s="3" t="s">
        <v>709</v>
      </c>
      <c r="D341" s="4" t="s">
        <v>15</v>
      </c>
      <c r="E341" s="4">
        <v>1</v>
      </c>
      <c r="F341" s="5" t="s">
        <v>34</v>
      </c>
      <c r="G341" s="6" t="s">
        <v>591</v>
      </c>
      <c r="I341" s="4"/>
    </row>
    <row r="342" spans="1:9" ht="45" x14ac:dyDescent="0.25">
      <c r="A342" s="2">
        <f>IF(BD_Versos[[#This Row],[Tema_Principal]]="","",ROW(BD_Versos[[#This Row],[Tema_Principal]])-1)</f>
        <v>341</v>
      </c>
      <c r="B342" s="3" t="s">
        <v>701</v>
      </c>
      <c r="C342" s="3" t="s">
        <v>712</v>
      </c>
      <c r="D342" s="4" t="s">
        <v>30</v>
      </c>
      <c r="E342" s="4">
        <v>4</v>
      </c>
      <c r="F342" s="5" t="s">
        <v>578</v>
      </c>
      <c r="G342" s="6" t="s">
        <v>606</v>
      </c>
      <c r="I342" s="4"/>
    </row>
    <row r="343" spans="1:9" ht="30" x14ac:dyDescent="0.25">
      <c r="A343" s="2">
        <f>IF(BD_Versos[[#This Row],[Tema_Principal]]="","",ROW(BD_Versos[[#This Row],[Tema_Principal]])-1)</f>
        <v>342</v>
      </c>
      <c r="B343" s="3" t="s">
        <v>715</v>
      </c>
      <c r="C343" s="2" t="s">
        <v>718</v>
      </c>
      <c r="D343" s="4" t="s">
        <v>89</v>
      </c>
      <c r="E343" s="4">
        <v>1</v>
      </c>
      <c r="F343" s="5" t="s">
        <v>105</v>
      </c>
      <c r="G343" s="6" t="s">
        <v>769</v>
      </c>
      <c r="I343" s="4"/>
    </row>
    <row r="344" spans="1:9" ht="105" x14ac:dyDescent="0.25">
      <c r="A344" s="2">
        <f>IF(BD_Versos[[#This Row],[Tema_Principal]]="","",ROW(BD_Versos[[#This Row],[Tema_Principal]])-1)</f>
        <v>343</v>
      </c>
      <c r="B344" s="3" t="s">
        <v>715</v>
      </c>
      <c r="C344" s="2" t="s">
        <v>719</v>
      </c>
      <c r="D344" s="4" t="s">
        <v>89</v>
      </c>
      <c r="E344" s="4">
        <v>3</v>
      </c>
      <c r="F344" s="5" t="s">
        <v>713</v>
      </c>
      <c r="G344" s="6" t="s">
        <v>770</v>
      </c>
      <c r="I344" s="4"/>
    </row>
    <row r="345" spans="1:9" ht="59.25" customHeight="1" x14ac:dyDescent="0.25">
      <c r="A345" s="2">
        <f>IF(BD_Versos[[#This Row],[Tema_Principal]]="","",ROW(BD_Versos[[#This Row],[Tema_Principal]])-1)</f>
        <v>344</v>
      </c>
      <c r="B345" s="3" t="s">
        <v>715</v>
      </c>
      <c r="C345" s="2" t="s">
        <v>720</v>
      </c>
      <c r="D345" s="4" t="s">
        <v>89</v>
      </c>
      <c r="E345" s="4">
        <v>3</v>
      </c>
      <c r="F345" s="5" t="s">
        <v>112</v>
      </c>
      <c r="G345" s="6" t="s">
        <v>771</v>
      </c>
      <c r="I345" s="4"/>
    </row>
    <row r="346" spans="1:9" ht="30" x14ac:dyDescent="0.25">
      <c r="A346" s="2">
        <f>IF(BD_Versos[[#This Row],[Tema_Principal]]="","",ROW(BD_Versos[[#This Row],[Tema_Principal]])-1)</f>
        <v>345</v>
      </c>
      <c r="B346" s="3" t="s">
        <v>715</v>
      </c>
      <c r="C346" s="2" t="s">
        <v>721</v>
      </c>
      <c r="D346" s="4" t="s">
        <v>89</v>
      </c>
      <c r="E346" s="4">
        <v>1</v>
      </c>
      <c r="F346" s="5" t="s">
        <v>44</v>
      </c>
      <c r="G346" s="6" t="s">
        <v>772</v>
      </c>
      <c r="H346" s="4" t="s">
        <v>722</v>
      </c>
      <c r="I346" s="4"/>
    </row>
    <row r="347" spans="1:9" ht="30" x14ac:dyDescent="0.25">
      <c r="A347" s="2">
        <f>IF(BD_Versos[[#This Row],[Tema_Principal]]="","",ROW(BD_Versos[[#This Row],[Tema_Principal]])-1)</f>
        <v>346</v>
      </c>
      <c r="B347" s="3" t="s">
        <v>715</v>
      </c>
      <c r="C347" s="2" t="s">
        <v>721</v>
      </c>
      <c r="D347" s="4" t="s">
        <v>89</v>
      </c>
      <c r="E347" s="4">
        <v>1</v>
      </c>
      <c r="F347" s="5" t="s">
        <v>28</v>
      </c>
      <c r="G347" s="6" t="s">
        <v>773</v>
      </c>
      <c r="H347" s="4" t="s">
        <v>723</v>
      </c>
      <c r="I347" s="4"/>
    </row>
    <row r="348" spans="1:9" ht="45" x14ac:dyDescent="0.25">
      <c r="A348" s="2">
        <f>IF(BD_Versos[[#This Row],[Tema_Principal]]="","",ROW(BD_Versos[[#This Row],[Tema_Principal]])-1)</f>
        <v>347</v>
      </c>
      <c r="B348" s="3" t="s">
        <v>715</v>
      </c>
      <c r="C348" s="2" t="s">
        <v>724</v>
      </c>
      <c r="D348" s="4" t="s">
        <v>89</v>
      </c>
      <c r="E348" s="4">
        <v>1</v>
      </c>
      <c r="F348" s="5" t="s">
        <v>717</v>
      </c>
      <c r="G348" s="6" t="s">
        <v>774</v>
      </c>
      <c r="I348" s="4"/>
    </row>
    <row r="349" spans="1:9" ht="30" x14ac:dyDescent="0.25">
      <c r="A349" s="2">
        <f>IF(BD_Versos[[#This Row],[Tema_Principal]]="","",ROW(BD_Versos[[#This Row],[Tema_Principal]])-1)</f>
        <v>348</v>
      </c>
      <c r="B349" s="3" t="s">
        <v>715</v>
      </c>
      <c r="C349" s="2" t="s">
        <v>724</v>
      </c>
      <c r="D349" s="4" t="s">
        <v>88</v>
      </c>
      <c r="E349" s="4">
        <v>1</v>
      </c>
      <c r="F349" s="5" t="s">
        <v>726</v>
      </c>
      <c r="G349" s="6" t="s">
        <v>775</v>
      </c>
      <c r="H349" s="4" t="s">
        <v>725</v>
      </c>
      <c r="I349" s="4"/>
    </row>
    <row r="350" spans="1:9" ht="30" x14ac:dyDescent="0.25">
      <c r="A350" s="2">
        <f>IF(BD_Versos[[#This Row],[Tema_Principal]]="","",ROW(BD_Versos[[#This Row],[Tema_Principal]])-1)</f>
        <v>349</v>
      </c>
      <c r="B350" s="3" t="s">
        <v>715</v>
      </c>
      <c r="C350" s="2" t="s">
        <v>729</v>
      </c>
      <c r="D350" s="4" t="s">
        <v>30</v>
      </c>
      <c r="E350" s="4">
        <v>5</v>
      </c>
      <c r="F350" s="5" t="s">
        <v>728</v>
      </c>
      <c r="G350" s="6" t="s">
        <v>762</v>
      </c>
      <c r="I350" s="4"/>
    </row>
    <row r="351" spans="1:9" ht="90" x14ac:dyDescent="0.25">
      <c r="A351" s="2">
        <f>IF(BD_Versos[[#This Row],[Tema_Principal]]="","",ROW(BD_Versos[[#This Row],[Tema_Principal]])-1)</f>
        <v>350</v>
      </c>
      <c r="B351" s="3" t="s">
        <v>715</v>
      </c>
      <c r="C351" s="2" t="s">
        <v>729</v>
      </c>
      <c r="D351" s="4" t="s">
        <v>30</v>
      </c>
      <c r="E351" s="4">
        <v>23</v>
      </c>
      <c r="F351" s="5" t="s">
        <v>730</v>
      </c>
      <c r="G351" s="6" t="s">
        <v>776</v>
      </c>
      <c r="I351" s="4"/>
    </row>
    <row r="352" spans="1:9" ht="75" x14ac:dyDescent="0.25">
      <c r="A352" s="2">
        <f>IF(BD_Versos[[#This Row],[Tema_Principal]]="","",ROW(BD_Versos[[#This Row],[Tema_Principal]])-1)</f>
        <v>351</v>
      </c>
      <c r="B352" s="3" t="s">
        <v>715</v>
      </c>
      <c r="C352" s="2" t="s">
        <v>729</v>
      </c>
      <c r="D352" s="4" t="s">
        <v>30</v>
      </c>
      <c r="E352" s="4">
        <v>7</v>
      </c>
      <c r="F352" s="5" t="s">
        <v>731</v>
      </c>
      <c r="G352" s="6" t="s">
        <v>777</v>
      </c>
      <c r="I352" s="4"/>
    </row>
    <row r="353" spans="1:9" ht="45" x14ac:dyDescent="0.25">
      <c r="A353" s="2">
        <f>IF(BD_Versos[[#This Row],[Tema_Principal]]="","",ROW(BD_Versos[[#This Row],[Tema_Principal]])-1)</f>
        <v>352</v>
      </c>
      <c r="B353" s="3" t="s">
        <v>715</v>
      </c>
      <c r="C353" s="2" t="s">
        <v>734</v>
      </c>
      <c r="D353" s="4" t="s">
        <v>88</v>
      </c>
      <c r="E353" s="4">
        <v>3</v>
      </c>
      <c r="F353" s="5" t="s">
        <v>735</v>
      </c>
      <c r="G353" s="6" t="s">
        <v>778</v>
      </c>
      <c r="I353" s="4"/>
    </row>
    <row r="354" spans="1:9" ht="30" x14ac:dyDescent="0.25">
      <c r="A354" s="2">
        <f>IF(BD_Versos[[#This Row],[Tema_Principal]]="","",ROW(BD_Versos[[#This Row],[Tema_Principal]])-1)</f>
        <v>353</v>
      </c>
      <c r="B354" s="3" t="s">
        <v>715</v>
      </c>
      <c r="C354" s="2" t="s">
        <v>736</v>
      </c>
      <c r="D354" s="4" t="s">
        <v>88</v>
      </c>
      <c r="E354" s="4">
        <v>3</v>
      </c>
      <c r="F354" s="5" t="s">
        <v>28</v>
      </c>
      <c r="G354" s="6" t="s">
        <v>779</v>
      </c>
      <c r="I354" s="4"/>
    </row>
    <row r="355" spans="1:9" ht="30" x14ac:dyDescent="0.25">
      <c r="A355" s="2">
        <f>IF(BD_Versos[[#This Row],[Tema_Principal]]="","",ROW(BD_Versos[[#This Row],[Tema_Principal]])-1)</f>
        <v>354</v>
      </c>
      <c r="B355" s="3" t="s">
        <v>715</v>
      </c>
      <c r="C355" s="2" t="s">
        <v>756</v>
      </c>
      <c r="D355" s="4" t="s">
        <v>12</v>
      </c>
      <c r="E355" s="4">
        <v>1</v>
      </c>
      <c r="F355" s="5" t="s">
        <v>105</v>
      </c>
      <c r="G355" s="6" t="s">
        <v>780</v>
      </c>
      <c r="I355" s="4"/>
    </row>
    <row r="356" spans="1:9" ht="30" x14ac:dyDescent="0.25">
      <c r="A356" s="2">
        <f>IF(BD_Versos[[#This Row],[Tema_Principal]]="","",ROW(BD_Versos[[#This Row],[Tema_Principal]])-1)</f>
        <v>355</v>
      </c>
      <c r="B356" s="3" t="s">
        <v>715</v>
      </c>
      <c r="C356" s="2" t="s">
        <v>756</v>
      </c>
      <c r="D356" s="4" t="s">
        <v>12</v>
      </c>
      <c r="E356" s="4">
        <v>1</v>
      </c>
      <c r="F356" s="5" t="s">
        <v>120</v>
      </c>
      <c r="G356" s="6" t="s">
        <v>781</v>
      </c>
      <c r="I356" s="4"/>
    </row>
    <row r="357" spans="1:9" ht="32.25" customHeight="1" x14ac:dyDescent="0.25">
      <c r="A357" s="2">
        <f>IF(BD_Versos[[#This Row],[Tema_Principal]]="","",ROW(BD_Versos[[#This Row],[Tema_Principal]])-1)</f>
        <v>356</v>
      </c>
      <c r="B357" s="3" t="s">
        <v>732</v>
      </c>
      <c r="C357" s="2" t="s">
        <v>733</v>
      </c>
      <c r="D357" s="4" t="s">
        <v>88</v>
      </c>
      <c r="E357" s="4">
        <v>3</v>
      </c>
      <c r="F357" s="5" t="s">
        <v>578</v>
      </c>
      <c r="G357" s="6" t="s">
        <v>782</v>
      </c>
      <c r="I357" s="4"/>
    </row>
    <row r="358" spans="1:9" ht="30" x14ac:dyDescent="0.25">
      <c r="A358" s="2">
        <f>IF(BD_Versos[[#This Row],[Tema_Principal]]="","",ROW(BD_Versos[[#This Row],[Tema_Principal]])-1)</f>
        <v>357</v>
      </c>
      <c r="B358" s="3" t="s">
        <v>732</v>
      </c>
      <c r="C358" s="2" t="s">
        <v>737</v>
      </c>
      <c r="D358" s="4" t="s">
        <v>15</v>
      </c>
      <c r="E358" s="4">
        <v>1</v>
      </c>
      <c r="F358" s="5" t="s">
        <v>34</v>
      </c>
      <c r="G358" s="6" t="s">
        <v>591</v>
      </c>
      <c r="I358" s="4"/>
    </row>
    <row r="359" spans="1:9" ht="30" x14ac:dyDescent="0.25">
      <c r="A359" s="2">
        <f>IF(BD_Versos[[#This Row],[Tema_Principal]]="","",ROW(BD_Versos[[#This Row],[Tema_Principal]])-1)</f>
        <v>358</v>
      </c>
      <c r="B359" s="3" t="s">
        <v>732</v>
      </c>
      <c r="C359" s="2" t="s">
        <v>737</v>
      </c>
      <c r="D359" s="4" t="s">
        <v>92</v>
      </c>
      <c r="E359" s="4">
        <v>2</v>
      </c>
      <c r="F359" s="5" t="s">
        <v>119</v>
      </c>
      <c r="G359" s="6" t="s">
        <v>624</v>
      </c>
      <c r="I359" s="4"/>
    </row>
    <row r="360" spans="1:9" ht="30" x14ac:dyDescent="0.25">
      <c r="A360" s="2">
        <f>IF(BD_Versos[[#This Row],[Tema_Principal]]="","",ROW(BD_Versos[[#This Row],[Tema_Principal]])-1)</f>
        <v>359</v>
      </c>
      <c r="B360" s="3" t="s">
        <v>732</v>
      </c>
      <c r="C360" s="2" t="s">
        <v>738</v>
      </c>
      <c r="D360" s="4" t="s">
        <v>89</v>
      </c>
      <c r="E360" s="4">
        <v>1</v>
      </c>
      <c r="F360" s="5" t="s">
        <v>121</v>
      </c>
      <c r="G360" s="6" t="s">
        <v>761</v>
      </c>
      <c r="I360" s="4"/>
    </row>
    <row r="361" spans="1:9" ht="30" x14ac:dyDescent="0.25">
      <c r="A361" s="2">
        <f>IF(BD_Versos[[#This Row],[Tema_Principal]]="","",ROW(BD_Versos[[#This Row],[Tema_Principal]])-1)</f>
        <v>360</v>
      </c>
      <c r="B361" s="3" t="s">
        <v>732</v>
      </c>
      <c r="C361" s="2" t="s">
        <v>739</v>
      </c>
      <c r="D361" s="4" t="s">
        <v>89</v>
      </c>
      <c r="E361" s="4">
        <v>1</v>
      </c>
      <c r="F361" s="5" t="s">
        <v>297</v>
      </c>
      <c r="G361" s="6" t="s">
        <v>625</v>
      </c>
      <c r="I361" s="4"/>
    </row>
    <row r="362" spans="1:9" ht="30" x14ac:dyDescent="0.25">
      <c r="A362" s="2">
        <f>IF(BD_Versos[[#This Row],[Tema_Principal]]="","",ROW(BD_Versos[[#This Row],[Tema_Principal]])-1)</f>
        <v>361</v>
      </c>
      <c r="B362" s="3" t="s">
        <v>732</v>
      </c>
      <c r="C362" s="2" t="s">
        <v>740</v>
      </c>
      <c r="D362" s="4" t="s">
        <v>89</v>
      </c>
      <c r="E362" s="4">
        <v>5</v>
      </c>
      <c r="F362" s="5" t="s">
        <v>114</v>
      </c>
      <c r="G362" s="6" t="s">
        <v>783</v>
      </c>
      <c r="I362" s="4"/>
    </row>
    <row r="363" spans="1:9" ht="30" x14ac:dyDescent="0.25">
      <c r="A363" s="2">
        <f>IF(BD_Versos[[#This Row],[Tema_Principal]]="","",ROW(BD_Versos[[#This Row],[Tema_Principal]])-1)</f>
        <v>362</v>
      </c>
      <c r="B363" s="3" t="s">
        <v>732</v>
      </c>
      <c r="C363" s="2" t="s">
        <v>740</v>
      </c>
      <c r="D363" s="4" t="s">
        <v>89</v>
      </c>
      <c r="E363" s="4">
        <v>6</v>
      </c>
      <c r="F363" s="5" t="s">
        <v>295</v>
      </c>
      <c r="G363" s="6" t="s">
        <v>784</v>
      </c>
      <c r="I363" s="4"/>
    </row>
    <row r="364" spans="1:9" ht="45" x14ac:dyDescent="0.25">
      <c r="A364" s="2">
        <f>IF(BD_Versos[[#This Row],[Tema_Principal]]="","",ROW(BD_Versos[[#This Row],[Tema_Principal]])-1)</f>
        <v>363</v>
      </c>
      <c r="B364" s="3" t="s">
        <v>732</v>
      </c>
      <c r="C364" s="2" t="s">
        <v>741</v>
      </c>
      <c r="D364" s="4" t="s">
        <v>91</v>
      </c>
      <c r="E364" s="4">
        <v>1</v>
      </c>
      <c r="F364" s="5" t="s">
        <v>295</v>
      </c>
      <c r="G364" s="6" t="s">
        <v>611</v>
      </c>
      <c r="H364" s="4" t="s">
        <v>745</v>
      </c>
      <c r="I364" s="4"/>
    </row>
    <row r="365" spans="1:9" ht="48" customHeight="1" x14ac:dyDescent="0.25">
      <c r="A365" s="2">
        <f>IF(BD_Versos[[#This Row],[Tema_Principal]]="","",ROW(BD_Versos[[#This Row],[Tema_Principal]])-1)</f>
        <v>364</v>
      </c>
      <c r="B365" s="3" t="s">
        <v>732</v>
      </c>
      <c r="C365" s="2" t="s">
        <v>741</v>
      </c>
      <c r="D365" s="4" t="s">
        <v>20</v>
      </c>
      <c r="E365" s="4">
        <v>1</v>
      </c>
      <c r="F365" s="5" t="s">
        <v>115</v>
      </c>
      <c r="G365" s="6" t="s">
        <v>595</v>
      </c>
      <c r="H365" s="4" t="s">
        <v>742</v>
      </c>
      <c r="I365" s="4"/>
    </row>
    <row r="366" spans="1:9" ht="45" x14ac:dyDescent="0.25">
      <c r="A366" s="2">
        <f>IF(BD_Versos[[#This Row],[Tema_Principal]]="","",ROW(BD_Versos[[#This Row],[Tema_Principal]])-1)</f>
        <v>365</v>
      </c>
      <c r="B366" s="3" t="s">
        <v>732</v>
      </c>
      <c r="C366" s="2" t="s">
        <v>743</v>
      </c>
      <c r="D366" s="4" t="s">
        <v>17</v>
      </c>
      <c r="E366" s="4">
        <v>1</v>
      </c>
      <c r="F366" s="5" t="s">
        <v>571</v>
      </c>
      <c r="G366" s="6" t="s">
        <v>610</v>
      </c>
      <c r="I366" s="4"/>
    </row>
    <row r="367" spans="1:9" ht="45" x14ac:dyDescent="0.25">
      <c r="A367" s="2">
        <f>IF(BD_Versos[[#This Row],[Tema_Principal]]="","",ROW(BD_Versos[[#This Row],[Tema_Principal]])-1)</f>
        <v>366</v>
      </c>
      <c r="B367" s="3" t="s">
        <v>732</v>
      </c>
      <c r="C367" s="2" t="s">
        <v>746</v>
      </c>
      <c r="D367" s="4" t="s">
        <v>89</v>
      </c>
      <c r="E367" s="4">
        <v>1</v>
      </c>
      <c r="F367" s="5" t="s">
        <v>660</v>
      </c>
      <c r="G367" s="6" t="s">
        <v>785</v>
      </c>
      <c r="H367" s="4" t="s">
        <v>747</v>
      </c>
      <c r="I367" s="4"/>
    </row>
    <row r="368" spans="1:9" ht="118.5" customHeight="1" x14ac:dyDescent="0.25">
      <c r="A368" s="2">
        <f>IF(BD_Versos[[#This Row],[Tema_Principal]]="","",ROW(BD_Versos[[#This Row],[Tema_Principal]])-1)</f>
        <v>367</v>
      </c>
      <c r="B368" s="3" t="s">
        <v>744</v>
      </c>
      <c r="C368" s="2" t="s">
        <v>748</v>
      </c>
      <c r="D368" s="4" t="s">
        <v>15</v>
      </c>
      <c r="E368" s="4">
        <v>1</v>
      </c>
      <c r="F368" s="5" t="s">
        <v>655</v>
      </c>
      <c r="G368" s="6" t="s">
        <v>786</v>
      </c>
      <c r="I368" s="4"/>
    </row>
    <row r="369" spans="1:9" ht="30" x14ac:dyDescent="0.25">
      <c r="A369" s="2">
        <f>IF(BD_Versos[[#This Row],[Tema_Principal]]="","",ROW(BD_Versos[[#This Row],[Tema_Principal]])-1)</f>
        <v>368</v>
      </c>
      <c r="B369" s="3" t="s">
        <v>744</v>
      </c>
      <c r="C369" s="2" t="s">
        <v>749</v>
      </c>
      <c r="D369" s="4" t="s">
        <v>30</v>
      </c>
      <c r="E369" s="4">
        <v>4</v>
      </c>
      <c r="F369" s="5" t="s">
        <v>294</v>
      </c>
      <c r="G369" s="6" t="s">
        <v>759</v>
      </c>
      <c r="H369" s="4" t="s">
        <v>753</v>
      </c>
      <c r="I369" s="4"/>
    </row>
    <row r="370" spans="1:9" ht="105" x14ac:dyDescent="0.25">
      <c r="A370" s="2">
        <f>IF(BD_Versos[[#This Row],[Tema_Principal]]="","",ROW(BD_Versos[[#This Row],[Tema_Principal]])-1)</f>
        <v>369</v>
      </c>
      <c r="B370" s="3" t="s">
        <v>744</v>
      </c>
      <c r="C370" s="2" t="s">
        <v>750</v>
      </c>
      <c r="D370" s="4" t="s">
        <v>89</v>
      </c>
      <c r="E370" s="4">
        <v>3</v>
      </c>
      <c r="F370" s="5" t="s">
        <v>713</v>
      </c>
      <c r="G370" s="6" t="s">
        <v>770</v>
      </c>
      <c r="I370" s="4"/>
    </row>
    <row r="371" spans="1:9" ht="45" x14ac:dyDescent="0.25">
      <c r="A371" s="2">
        <f>IF(BD_Versos[[#This Row],[Tema_Principal]]="","",ROW(BD_Versos[[#This Row],[Tema_Principal]])-1)</f>
        <v>370</v>
      </c>
      <c r="B371" s="3" t="s">
        <v>744</v>
      </c>
      <c r="C371" s="2" t="s">
        <v>751</v>
      </c>
      <c r="D371" s="4" t="s">
        <v>89</v>
      </c>
      <c r="E371" s="4">
        <v>3</v>
      </c>
      <c r="F371" s="5" t="s">
        <v>752</v>
      </c>
      <c r="G371" s="6" t="s">
        <v>787</v>
      </c>
      <c r="I371" s="4"/>
    </row>
    <row r="372" spans="1:9" ht="30" x14ac:dyDescent="0.25">
      <c r="A372" s="2">
        <f>IF(BD_Versos[[#This Row],[Tema_Principal]]="","",ROW(BD_Versos[[#This Row],[Tema_Principal]])-1)</f>
        <v>371</v>
      </c>
      <c r="B372" s="3" t="s">
        <v>744</v>
      </c>
      <c r="C372" s="2" t="s">
        <v>754</v>
      </c>
      <c r="D372" s="4" t="s">
        <v>12</v>
      </c>
      <c r="E372" s="4">
        <v>1</v>
      </c>
      <c r="F372" s="5" t="s">
        <v>120</v>
      </c>
      <c r="G372" s="6" t="s">
        <v>781</v>
      </c>
      <c r="H372" s="4" t="s">
        <v>755</v>
      </c>
      <c r="I372" s="4"/>
    </row>
    <row r="373" spans="1:9" ht="48.75" customHeight="1" x14ac:dyDescent="0.25">
      <c r="A373" s="2">
        <f>IF(BD_Versos[[#This Row],[Tema_Principal]]="","",ROW(BD_Versos[[#This Row],[Tema_Principal]])-1)</f>
        <v>372</v>
      </c>
      <c r="B373" s="3" t="s">
        <v>757</v>
      </c>
      <c r="C373" s="2" t="s">
        <v>788</v>
      </c>
      <c r="D373" s="4" t="s">
        <v>68</v>
      </c>
      <c r="E373" s="4">
        <v>25</v>
      </c>
      <c r="F373" s="5" t="s">
        <v>25</v>
      </c>
      <c r="G373" s="6" t="str" cm="1">
        <f t="array" ref="G373">IF(OR(BD_Versos[[#This Row],[Libro]]="",BD_Versos[[#This Row],[Capítulo]]="",BD_Versos[[#This Row],[Versículo]]=""),"",ExtraerPasaje(_xlfn.CONCAT(BD_Versos[[#This Row],[Libro]],BD_Versos[[#This Row],[Capítulo]],":",BD_Versos[[#This Row],[Versículo]])))</f>
        <v xml:space="preserve">_x000D_ _x000D_ Oración pidiendo amparo, guía y perdón_x000D_ _x000D_ Salmo de David._x000D_ _x000D_ _x000D_ 25 A ti, oh Señor, elevo mi alma(A)._x000D_ </v>
      </c>
      <c r="I373" s="4"/>
    </row>
    <row r="374" spans="1:9" ht="30" x14ac:dyDescent="0.25">
      <c r="A374" s="2">
        <f>IF(BD_Versos[[#This Row],[Tema_Principal]]="","",ROW(BD_Versos[[#This Row],[Tema_Principal]])-1)</f>
        <v>373</v>
      </c>
      <c r="B374" s="3" t="s">
        <v>757</v>
      </c>
      <c r="C374" s="2" t="s">
        <v>794</v>
      </c>
      <c r="D374" s="4" t="s">
        <v>68</v>
      </c>
      <c r="E374" s="4">
        <v>16</v>
      </c>
      <c r="F374" s="5" t="s">
        <v>38</v>
      </c>
      <c r="G374" s="6" t="str" cm="1">
        <f t="array" ref="G374">IF(OR(BD_Versos[[#This Row],[Libro]]="",BD_Versos[[#This Row],[Capítulo]]="",BD_Versos[[#This Row],[Versículo]]=""),"",ExtraerPasaje(_xlfn.CONCAT(BD_Versos[[#This Row],[Libro]],BD_Versos[[#This Row],[Capítulo]],":",BD_Versos[[#This Row],[Versículo]])))</f>
        <v xml:space="preserve">_x000D_ _x000D_ _x000D_ 9 Por tanto, mi corazón se alegra(A) y mi alma[a] se regocija(B);_x000D_ también mi carne morará segura(C),_x000D_ </v>
      </c>
      <c r="H374" s="4" t="s">
        <v>789</v>
      </c>
      <c r="I374" s="4"/>
    </row>
    <row r="375" spans="1:9" ht="30" x14ac:dyDescent="0.25">
      <c r="A375" s="2">
        <f>IF(BD_Versos[[#This Row],[Tema_Principal]]="","",ROW(BD_Versos[[#This Row],[Tema_Principal]])-1)</f>
        <v>374</v>
      </c>
      <c r="B375" s="3" t="s">
        <v>757</v>
      </c>
      <c r="C375" s="2" t="s">
        <v>794</v>
      </c>
      <c r="D375" s="4" t="s">
        <v>68</v>
      </c>
      <c r="E375" s="4">
        <v>31</v>
      </c>
      <c r="F375" s="5" t="s">
        <v>40</v>
      </c>
      <c r="G375" s="6" t="str" cm="1">
        <f t="array" ref="G375">IF(OR(BD_Versos[[#This Row],[Libro]]="",BD_Versos[[#This Row],[Capítulo]]="",BD_Versos[[#This Row],[Versículo]]=""),"",ExtraerPasaje(_xlfn.CONCAT(BD_Versos[[#This Row],[Libro]],BD_Versos[[#This Row],[Capítulo]],":",BD_Versos[[#This Row],[Versículo]])))</f>
        <v xml:space="preserve">_x000D_ _x000D_ _x000D_ 7 Me gozaré y me alegraré en tu misericordia(A),_x000D_ porque tú has visto mi aflicción(B);_x000D_ has conocido las angustias de mi alma,_x000D_ </v>
      </c>
      <c r="H375" s="4" t="s">
        <v>790</v>
      </c>
      <c r="I375" s="4"/>
    </row>
    <row r="376" spans="1:9" ht="30" x14ac:dyDescent="0.25">
      <c r="A376" s="2">
        <f>IF(BD_Versos[[#This Row],[Tema_Principal]]="","",ROW(BD_Versos[[#This Row],[Tema_Principal]])-1)</f>
        <v>375</v>
      </c>
      <c r="B376" s="3" t="s">
        <v>757</v>
      </c>
      <c r="C376" s="2" t="s">
        <v>794</v>
      </c>
      <c r="D376" s="4" t="s">
        <v>68</v>
      </c>
      <c r="E376" s="4">
        <v>31</v>
      </c>
      <c r="F376" s="5" t="s">
        <v>38</v>
      </c>
      <c r="G376" s="6" t="str" cm="1">
        <f t="array" ref="G376">IF(OR(BD_Versos[[#This Row],[Libro]]="",BD_Versos[[#This Row],[Capítulo]]="",BD_Versos[[#This Row],[Versículo]]=""),"",ExtraerPasaje(_xlfn.CONCAT(BD_Versos[[#This Row],[Libro]],BD_Versos[[#This Row],[Capítulo]],":",BD_Versos[[#This Row],[Versículo]])))</f>
        <v xml:space="preserve">_x000D_ _x000D_ _x000D_ 9 Ten piedad de mí, oh Señor, porque estoy en angustia(A);_x000D_ se consumen de sufrir mis ojos(B), mi alma y mis entrañas(C)._x000D_ </v>
      </c>
      <c r="H376" s="4" t="s">
        <v>790</v>
      </c>
      <c r="I376" s="4"/>
    </row>
    <row r="377" spans="1:9" ht="30" x14ac:dyDescent="0.25">
      <c r="A377" s="2">
        <f>IF(BD_Versos[[#This Row],[Tema_Principal]]="","",ROW(BD_Versos[[#This Row],[Tema_Principal]])-1)</f>
        <v>376</v>
      </c>
      <c r="B377" s="3" t="s">
        <v>757</v>
      </c>
      <c r="C377" s="2" t="s">
        <v>794</v>
      </c>
      <c r="D377" s="4" t="s">
        <v>68</v>
      </c>
      <c r="E377" s="4">
        <v>24</v>
      </c>
      <c r="F377" s="5" t="s">
        <v>119</v>
      </c>
      <c r="G377" s="6" t="str" cm="1">
        <f t="array" ref="G377">IF(OR(BD_Versos[[#This Row],[Libro]]="",BD_Versos[[#This Row],[Capítulo]]="",BD_Versos[[#This Row],[Versículo]]=""),"",ExtraerPasaje(_xlfn.CONCAT(BD_Versos[[#This Row],[Libro]],BD_Versos[[#This Row],[Capítulo]],":",BD_Versos[[#This Row],[Versículo]])))</f>
        <v xml:space="preserve">_x000D_ _x000D_ _x000D_ 4 El de manos[a] limpias(A) y corazón puro(B);_x000D_ el que no ha alzado su alma a la falsedad[b](C),_x000D_ ni jurado con engaño(D)._x000D_ </v>
      </c>
      <c r="H377" s="4" t="s">
        <v>791</v>
      </c>
      <c r="I377" s="4"/>
    </row>
    <row r="378" spans="1:9" ht="52.5" customHeight="1" x14ac:dyDescent="0.25">
      <c r="A378" s="2">
        <f>IF(BD_Versos[[#This Row],[Tema_Principal]]="","",ROW(BD_Versos[[#This Row],[Tema_Principal]])-1)</f>
        <v>377</v>
      </c>
      <c r="B378" s="3" t="s">
        <v>757</v>
      </c>
      <c r="C378" s="2" t="s">
        <v>794</v>
      </c>
      <c r="D378" s="4" t="s">
        <v>71</v>
      </c>
      <c r="E378" s="4">
        <v>3</v>
      </c>
      <c r="F378" s="5" t="s">
        <v>25</v>
      </c>
      <c r="G378" s="6" t="str" cm="1">
        <f t="array" ref="G378">IF(OR(BD_Versos[[#This Row],[Libro]]="",BD_Versos[[#This Row],[Capítulo]]="",BD_Versos[[#This Row],[Versículo]]=""),"",ExtraerPasaje(_xlfn.CONCAT(BD_Versos[[#This Row],[Libro]],BD_Versos[[#This Row],[Capítulo]],":",BD_Versos[[#This Row],[Versículo]])))</f>
        <v xml:space="preserve">_x000D_ _x000D_ Ensueño de la esposa_x000D_ _x000D_ LA ESPOSA:_x000D_ _x000D_ _x000D_ 3 En mi lecho, por las noches, he buscado_x000D_ al que ama mi alma(A);_x000D_ lo busqué, mas no lo hallé(B)._x000D_ </v>
      </c>
      <c r="H378" s="4" t="s">
        <v>792</v>
      </c>
      <c r="I378" s="4"/>
    </row>
    <row r="379" spans="1:9" ht="30" x14ac:dyDescent="0.25">
      <c r="A379" s="2">
        <f>IF(BD_Versos[[#This Row],[Tema_Principal]]="","",ROW(BD_Versos[[#This Row],[Tema_Principal]])-1)</f>
        <v>378</v>
      </c>
      <c r="B379" s="3" t="s">
        <v>757</v>
      </c>
      <c r="C379" s="2" t="s">
        <v>793</v>
      </c>
      <c r="D379" s="4" t="s">
        <v>68</v>
      </c>
      <c r="E379" s="4">
        <v>23</v>
      </c>
      <c r="F379" s="5" t="s">
        <v>35</v>
      </c>
      <c r="G379" s="6" t="str" cm="1">
        <f t="array" ref="G379">IF(OR(BD_Versos[[#This Row],[Libro]]="",BD_Versos[[#This Row],[Capítulo]]="",BD_Versos[[#This Row],[Versículo]]=""),"",ExtraerPasaje(_xlfn.CONCAT(BD_Versos[[#This Row],[Libro]],BD_Versos[[#This Row],[Capítulo]],":",BD_Versos[[#This Row],[Versículo]])))</f>
        <v xml:space="preserve">_x000D_ _x000D_ _x000D_ 3 Él restaura[a] mi alma(A);_x000D_ me guía(B) por senderos de justicia[b](C)_x000D_ por amor de su nombre._x000D_ </v>
      </c>
      <c r="H379" s="4" t="s">
        <v>795</v>
      </c>
      <c r="I379" s="4"/>
    </row>
    <row r="380" spans="1:9" ht="30" x14ac:dyDescent="0.25">
      <c r="A380" s="2">
        <f>IF(BD_Versos[[#This Row],[Tema_Principal]]="","",ROW(BD_Versos[[#This Row],[Tema_Principal]])-1)</f>
        <v>379</v>
      </c>
      <c r="B380" s="3" t="s">
        <v>757</v>
      </c>
      <c r="C380" s="2" t="s">
        <v>793</v>
      </c>
      <c r="D380" s="4" t="s">
        <v>68</v>
      </c>
      <c r="E380" s="4">
        <v>41</v>
      </c>
      <c r="F380" s="5" t="s">
        <v>119</v>
      </c>
      <c r="G380" s="6" t="str" cm="1">
        <f t="array" ref="G380">IF(OR(BD_Versos[[#This Row],[Libro]]="",BD_Versos[[#This Row],[Capítulo]]="",BD_Versos[[#This Row],[Versículo]]=""),"",ExtraerPasaje(_xlfn.CONCAT(BD_Versos[[#This Row],[Libro]],BD_Versos[[#This Row],[Capítulo]],":",BD_Versos[[#This Row],[Versículo]])))</f>
        <v xml:space="preserve">_x000D_ _x000D_ _x000D_ 4 Yo dije: Oh Señor, ten piedad de mí;_x000D_ sana mi alma(A), porque contra ti he pecado(B)._x000D_ </v>
      </c>
      <c r="H380" s="4" t="s">
        <v>796</v>
      </c>
      <c r="I380" s="4"/>
    </row>
    <row r="381" spans="1:9" ht="30" x14ac:dyDescent="0.25">
      <c r="A381" s="2">
        <f>IF(BD_Versos[[#This Row],[Tema_Principal]]="","",ROW(BD_Versos[[#This Row],[Tema_Principal]])-1)</f>
        <v>380</v>
      </c>
      <c r="B381" s="3" t="s">
        <v>757</v>
      </c>
      <c r="C381" s="2" t="s">
        <v>793</v>
      </c>
      <c r="D381" s="4" t="s">
        <v>68</v>
      </c>
      <c r="E381" s="4">
        <v>34</v>
      </c>
      <c r="F381" s="5" t="s">
        <v>111</v>
      </c>
      <c r="G381" s="6" t="str" cm="1">
        <f t="array" ref="G381">IF(OR(BD_Versos[[#This Row],[Libro]]="",BD_Versos[[#This Row],[Capítulo]]="",BD_Versos[[#This Row],[Versículo]]=""),"",ExtraerPasaje(_xlfn.CONCAT(BD_Versos[[#This Row],[Libro]],BD_Versos[[#This Row],[Capítulo]],":",BD_Versos[[#This Row],[Versículo]])))</f>
        <v xml:space="preserve">_x000D_ _x000D_ _x000D_ 22 El Señor redime el alma de sus siervos(A);_x000D_ y no será condenado[a] ninguno de los que en Él se refugian(B)._x000D_ </v>
      </c>
      <c r="H381" s="4" t="s">
        <v>797</v>
      </c>
      <c r="I381" s="4"/>
    </row>
    <row r="382" spans="1:9" ht="30" x14ac:dyDescent="0.25">
      <c r="A382" s="2">
        <f>IF(BD_Versos[[#This Row],[Tema_Principal]]="","",ROW(BD_Versos[[#This Row],[Tema_Principal]])-1)</f>
        <v>381</v>
      </c>
      <c r="B382" s="3" t="s">
        <v>757</v>
      </c>
      <c r="C382" s="2" t="s">
        <v>793</v>
      </c>
      <c r="D382" s="4" t="s">
        <v>68</v>
      </c>
      <c r="E382" s="4">
        <v>42</v>
      </c>
      <c r="F382" s="5" t="s">
        <v>32</v>
      </c>
      <c r="G382" s="6" t="str" cm="1">
        <f t="array" ref="G382">IF(OR(BD_Versos[[#This Row],[Libro]]="",BD_Versos[[#This Row],[Capítulo]]="",BD_Versos[[#This Row],[Versículo]]=""),"",ExtraerPasaje(_xlfn.CONCAT(BD_Versos[[#This Row],[Libro]],BD_Versos[[#This Row],[Capítulo]],":",BD_Versos[[#This Row],[Versículo]])))</f>
        <v xml:space="preserve">_x000D_ _x000D_ _x000D_ 5 ¿Por qué te abates[a], alma mía(A),_x000D_ y por qué te turbas dentro de mí(B)?_x000D_ Espera en[b] Dios(C), pues he de alabarle otra vez[c]_x000D_ por la salvación[d] de su presencia[e](D)._x000D_ </v>
      </c>
      <c r="H382" s="4" t="s">
        <v>798</v>
      </c>
      <c r="I382" s="4"/>
    </row>
    <row r="383" spans="1:9" ht="30" x14ac:dyDescent="0.25">
      <c r="A383" s="2">
        <f>IF(BD_Versos[[#This Row],[Tema_Principal]]="","",ROW(BD_Versos[[#This Row],[Tema_Principal]])-1)</f>
        <v>382</v>
      </c>
      <c r="B383" s="3" t="s">
        <v>757</v>
      </c>
      <c r="C383" s="2" t="s">
        <v>793</v>
      </c>
      <c r="D383" s="4" t="s">
        <v>47</v>
      </c>
      <c r="E383" s="4">
        <v>4</v>
      </c>
      <c r="F383" s="5" t="s">
        <v>119</v>
      </c>
      <c r="G383" s="6" t="str" cm="1">
        <f t="array" ref="G383">IF(OR(BD_Versos[[#This Row],[Libro]]="",BD_Versos[[#This Row],[Capítulo]]="",BD_Versos[[#This Row],[Versículo]]=""),"",ExtraerPasaje(_xlfn.CONCAT(BD_Versos[[#This Row],[Libro]],BD_Versos[[#This Row],[Capítulo]],":",BD_Versos[[#This Row],[Versículo]])))</f>
        <v xml:space="preserve">_x000D_ _x000D_ 4 Pero Él respondiendo, dijo: Escrito está: «No solo de pan vivirá el hombre, sino de toda palabra que sale de la boca de Dios(A)». _x000D_ </v>
      </c>
      <c r="H383" s="4" t="s">
        <v>799</v>
      </c>
      <c r="I383" s="4"/>
    </row>
    <row r="384" spans="1:9" ht="30" x14ac:dyDescent="0.25">
      <c r="A384" s="2">
        <f>IF(BD_Versos[[#This Row],[Tema_Principal]]="","",ROW(BD_Versos[[#This Row],[Tema_Principal]])-1)</f>
        <v>383</v>
      </c>
      <c r="B384" s="3" t="s">
        <v>757</v>
      </c>
      <c r="C384" s="2" t="s">
        <v>800</v>
      </c>
      <c r="D384" s="4" t="s">
        <v>47</v>
      </c>
      <c r="E384" s="4">
        <v>16</v>
      </c>
      <c r="F384" s="5" t="s">
        <v>48</v>
      </c>
      <c r="G384" s="6" t="str" cm="1">
        <f t="array" ref="G384">IF(OR(BD_Versos[[#This Row],[Libro]]="",BD_Versos[[#This Row],[Capítulo]]="",BD_Versos[[#This Row],[Versículo]]=""),"",ExtraerPasaje(_xlfn.CONCAT(BD_Versos[[#This Row],[Libro]],BD_Versos[[#This Row],[Capítulo]],":",BD_Versos[[#This Row],[Versículo]])))</f>
        <v xml:space="preserve">_x000D_ _x000D_ 26 Pues ¿qué provecho obtendrá un hombre si gana el mundo entero, pero pierde su alma? O ¿qué dará un hombre a cambio de su alma? _x000D_ </v>
      </c>
      <c r="H384" s="4" t="s">
        <v>801</v>
      </c>
      <c r="I384" s="4"/>
    </row>
    <row r="385" spans="1:9" ht="30" x14ac:dyDescent="0.25">
      <c r="A385" s="2">
        <f>IF(BD_Versos[[#This Row],[Tema_Principal]]="","",ROW(BD_Versos[[#This Row],[Tema_Principal]])-1)</f>
        <v>384</v>
      </c>
      <c r="B385" s="3" t="s">
        <v>757</v>
      </c>
      <c r="C385" s="2" t="s">
        <v>800</v>
      </c>
      <c r="D385" s="4" t="s">
        <v>43</v>
      </c>
      <c r="E385" s="4">
        <v>35</v>
      </c>
      <c r="F385" s="5" t="s">
        <v>105</v>
      </c>
      <c r="G385" s="6" t="str" cm="1">
        <f t="array" ref="G385">IF(OR(BD_Versos[[#This Row],[Libro]]="",BD_Versos[[#This Row],[Capítulo]]="",BD_Versos[[#This Row],[Versículo]]=""),"",ExtraerPasaje(_xlfn.CONCAT(BD_Versos[[#This Row],[Libro]],BD_Versos[[#This Row],[Capítulo]],":",BD_Versos[[#This Row],[Versículo]])))</f>
        <v xml:space="preserve">_x000D_ _x000D_ 18 Y aconteció que cuando su alma partía, pues murió, lo llamó Benoni[a]; pero su padre lo llamó Benjamín[b]. _x000D_ </v>
      </c>
      <c r="H385" s="4" t="s">
        <v>802</v>
      </c>
      <c r="I385" s="4"/>
    </row>
    <row r="386" spans="1:9" ht="30" x14ac:dyDescent="0.25">
      <c r="A386" s="2">
        <f>IF(BD_Versos[[#This Row],[Tema_Principal]]="","",ROW(BD_Versos[[#This Row],[Tema_Principal]])-1)</f>
        <v>385</v>
      </c>
      <c r="B386" s="3" t="s">
        <v>757</v>
      </c>
      <c r="C386" s="2" t="s">
        <v>800</v>
      </c>
      <c r="D386" s="4" t="s">
        <v>75</v>
      </c>
      <c r="E386" s="4">
        <v>18</v>
      </c>
      <c r="F386" s="5" t="s">
        <v>119</v>
      </c>
      <c r="G386" s="6" t="str" cm="1">
        <f t="array" ref="G386">IF(OR(BD_Versos[[#This Row],[Libro]]="",BD_Versos[[#This Row],[Capítulo]]="",BD_Versos[[#This Row],[Versículo]]=""),"",ExtraerPasaje(_xlfn.CONCAT(BD_Versos[[#This Row],[Libro]],BD_Versos[[#This Row],[Capítulo]],":",BD_Versos[[#This Row],[Versículo]])))</f>
        <v xml:space="preserve">_x000D_ _x000D_ 4 He aquí, todas las almas son mías(A); tanto el alma del padre como el alma del hijo mías son. El alma que peque, esa morirá(B). _x000D_ </v>
      </c>
      <c r="H386" s="4" t="s">
        <v>803</v>
      </c>
      <c r="I386" s="4"/>
    </row>
    <row r="387" spans="1:9"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I387" s="4"/>
    </row>
    <row r="388" spans="1:9"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I388" s="4"/>
    </row>
    <row r="389" spans="1:9"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I389" s="4"/>
    </row>
    <row r="390" spans="1:9"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I390" s="4"/>
    </row>
    <row r="391" spans="1:9"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I391" s="4"/>
    </row>
    <row r="392" spans="1:9"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I392" s="4"/>
    </row>
    <row r="393" spans="1:9"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I393" s="4"/>
    </row>
    <row r="394" spans="1:9"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I394" s="4"/>
    </row>
    <row r="395" spans="1:9"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I395" s="4"/>
    </row>
    <row r="396" spans="1:9"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I396" s="4"/>
    </row>
    <row r="397" spans="1:9"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I397" s="4"/>
    </row>
    <row r="398" spans="1:9"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I398" s="4"/>
    </row>
    <row r="399" spans="1:9"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I399" s="4"/>
    </row>
    <row r="400" spans="1:9"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I400" s="4"/>
    </row>
    <row r="401" spans="1:9"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I401" s="4"/>
    </row>
    <row r="402" spans="1:9"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I402" s="4"/>
    </row>
    <row r="403" spans="1:9"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I403" s="4"/>
    </row>
    <row r="404" spans="1:9"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I404" s="4"/>
    </row>
    <row r="405" spans="1:9"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I405" s="4"/>
    </row>
    <row r="406" spans="1:9"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I406" s="4"/>
    </row>
    <row r="407" spans="1:9"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I407" s="4"/>
    </row>
    <row r="408" spans="1:9"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I408" s="4"/>
    </row>
    <row r="409" spans="1:9"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I409" s="4"/>
    </row>
    <row r="410" spans="1:9"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I410" s="4"/>
    </row>
    <row r="411" spans="1:9"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I411" s="4"/>
    </row>
    <row r="412" spans="1:9"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I412" s="4"/>
    </row>
    <row r="413" spans="1:9"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I413" s="4"/>
    </row>
    <row r="414" spans="1:9"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I414" s="4"/>
    </row>
    <row r="415" spans="1:9"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I415" s="4"/>
    </row>
    <row r="416" spans="1:9"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I416" s="4"/>
    </row>
    <row r="417" spans="1:9"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I417" s="4"/>
    </row>
    <row r="418" spans="1:9"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I418" s="4"/>
    </row>
    <row r="419" spans="1:9"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I419" s="4"/>
    </row>
    <row r="420" spans="1:9"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I420" s="4"/>
    </row>
    <row r="421" spans="1:9"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I421" s="4"/>
    </row>
    <row r="422" spans="1:9"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I422" s="4"/>
    </row>
    <row r="423" spans="1:9"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I423" s="4"/>
    </row>
    <row r="424" spans="1:9"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I424" s="4"/>
    </row>
    <row r="425" spans="1:9"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I425" s="4"/>
    </row>
    <row r="426" spans="1:9"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I426" s="4"/>
    </row>
    <row r="427" spans="1:9"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I427" s="4"/>
    </row>
    <row r="428" spans="1:9"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I428" s="4"/>
    </row>
    <row r="429" spans="1:9"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I429" s="4"/>
    </row>
    <row r="430" spans="1:9"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I430" s="4"/>
    </row>
    <row r="431" spans="1:9"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I431" s="4"/>
    </row>
    <row r="432" spans="1:9"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I432" s="4"/>
    </row>
    <row r="433" spans="1:9"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I433" s="4"/>
    </row>
    <row r="434" spans="1:9"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I434" s="4"/>
    </row>
    <row r="435" spans="1:9"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I435" s="4"/>
    </row>
    <row r="436" spans="1:9"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I436" s="4"/>
    </row>
    <row r="437" spans="1:9"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I437" s="4"/>
    </row>
    <row r="438" spans="1:9"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I438" s="4"/>
    </row>
    <row r="439" spans="1:9"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I439" s="4"/>
    </row>
    <row r="440" spans="1:9"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I440" s="4"/>
    </row>
    <row r="441" spans="1:9"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I441" s="4"/>
    </row>
    <row r="442" spans="1:9"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I442" s="4"/>
    </row>
    <row r="443" spans="1:9"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I443" s="4"/>
    </row>
    <row r="444" spans="1:9"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I444" s="4"/>
    </row>
    <row r="445" spans="1:9"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I445" s="4"/>
    </row>
    <row r="446" spans="1:9"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I446" s="4"/>
    </row>
    <row r="447" spans="1:9"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I447" s="4"/>
    </row>
    <row r="448" spans="1:9"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I448" s="4"/>
    </row>
    <row r="449" spans="1:9"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I449" s="4"/>
    </row>
    <row r="450" spans="1:9"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I450" s="4"/>
    </row>
    <row r="451" spans="1:9"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I451" s="4"/>
    </row>
    <row r="452" spans="1:9"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I452" s="4"/>
    </row>
    <row r="453" spans="1:9"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I453" s="4"/>
    </row>
    <row r="454" spans="1:9"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I454" s="4"/>
    </row>
    <row r="455" spans="1:9"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I455" s="4"/>
    </row>
    <row r="456" spans="1:9"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I456" s="4"/>
    </row>
    <row r="457" spans="1:9"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I457" s="4"/>
    </row>
    <row r="458" spans="1:9"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I458" s="4"/>
    </row>
    <row r="459" spans="1:9"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I459" s="4"/>
    </row>
    <row r="460" spans="1:9"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I460" s="4"/>
    </row>
    <row r="461" spans="1:9"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I461" s="4"/>
    </row>
    <row r="462" spans="1:9"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I462" s="4"/>
    </row>
    <row r="463" spans="1:9"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I463" s="4"/>
    </row>
    <row r="464" spans="1:9"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I464" s="4"/>
    </row>
    <row r="465" spans="1:9"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I465" s="4"/>
    </row>
    <row r="466" spans="1:9"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I466" s="4"/>
    </row>
    <row r="467" spans="1:9"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I467" s="4"/>
    </row>
    <row r="468" spans="1:9"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I468" s="4"/>
    </row>
    <row r="469" spans="1:9"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I469" s="4"/>
    </row>
    <row r="470" spans="1:9"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I470" s="4"/>
    </row>
    <row r="471" spans="1:9"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I471" s="4"/>
    </row>
    <row r="472" spans="1:9"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I472" s="4"/>
    </row>
    <row r="473" spans="1:9"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I473" s="4"/>
    </row>
    <row r="474" spans="1:9"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I474" s="4"/>
    </row>
    <row r="475" spans="1:9"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I475" s="4"/>
    </row>
    <row r="476" spans="1:9"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I476" s="4"/>
    </row>
    <row r="477" spans="1:9"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I477" s="4"/>
    </row>
    <row r="478" spans="1:9"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I478" s="4"/>
    </row>
    <row r="479" spans="1:9"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I479" s="4"/>
    </row>
    <row r="480" spans="1:9"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I480" s="4"/>
    </row>
    <row r="481" spans="1:9"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I481" s="4"/>
    </row>
    <row r="482" spans="1:9"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I482" s="4"/>
    </row>
    <row r="483" spans="1:9"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I483" s="4"/>
    </row>
    <row r="484" spans="1:9"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I484" s="4"/>
    </row>
    <row r="485" spans="1:9"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I485" s="4"/>
    </row>
    <row r="486" spans="1:9"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I486" s="4"/>
    </row>
    <row r="487" spans="1:9"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I487" s="4"/>
    </row>
    <row r="488" spans="1:9"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I488" s="4"/>
    </row>
    <row r="489" spans="1:9"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I489" s="4"/>
    </row>
    <row r="490" spans="1:9"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I490" s="4"/>
    </row>
    <row r="491" spans="1:9"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I491" s="4"/>
    </row>
    <row r="492" spans="1:9"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I492" s="4"/>
    </row>
    <row r="493" spans="1:9"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I493" s="4"/>
    </row>
    <row r="494" spans="1:9"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I494" s="4"/>
    </row>
    <row r="495" spans="1:9"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I495" s="4"/>
    </row>
    <row r="496" spans="1:9"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I496" s="4"/>
    </row>
    <row r="497" spans="1:9"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I497" s="4"/>
    </row>
    <row r="498" spans="1:9"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I498" s="4"/>
    </row>
    <row r="499" spans="1:9"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I499" s="4"/>
    </row>
    <row r="500" spans="1:9"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I500" s="4"/>
    </row>
    <row r="501" spans="1:9"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I501" s="4"/>
    </row>
    <row r="502" spans="1:9"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I502" s="4"/>
    </row>
    <row r="503" spans="1:9"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I503" s="4"/>
    </row>
    <row r="504" spans="1:9"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I504" s="4"/>
    </row>
    <row r="505" spans="1:9"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I505" s="4"/>
    </row>
    <row r="506" spans="1:9"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I506" s="4"/>
    </row>
    <row r="507" spans="1:9"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I507" s="4"/>
    </row>
    <row r="508" spans="1:9"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I508" s="4"/>
    </row>
    <row r="509" spans="1:9"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I509" s="4"/>
    </row>
    <row r="510" spans="1:9"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I510" s="4"/>
    </row>
    <row r="511" spans="1:9"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I511" s="4"/>
    </row>
    <row r="512" spans="1:9"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I512" s="4"/>
    </row>
    <row r="513" spans="1:9"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I513" s="4"/>
    </row>
    <row r="514" spans="1:9"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I514" s="4"/>
    </row>
    <row r="515" spans="1:9"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I515" s="4"/>
    </row>
    <row r="516" spans="1:9"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I516" s="4"/>
    </row>
    <row r="517" spans="1:9"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I517" s="4"/>
    </row>
    <row r="518" spans="1:9"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I518" s="4"/>
    </row>
    <row r="519" spans="1:9"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I519" s="4"/>
    </row>
    <row r="520" spans="1:9"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I520" s="4"/>
    </row>
    <row r="521" spans="1:9"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I521" s="4"/>
    </row>
    <row r="522" spans="1:9"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I522" s="4"/>
    </row>
    <row r="523" spans="1:9"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I523" s="4"/>
    </row>
    <row r="524" spans="1:9"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I524" s="4"/>
    </row>
    <row r="525" spans="1:9"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I525" s="4"/>
    </row>
    <row r="526" spans="1:9"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I526" s="4"/>
    </row>
    <row r="527" spans="1:9"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I527" s="4"/>
    </row>
    <row r="528" spans="1:9"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I528" s="4"/>
    </row>
    <row r="529" spans="1:9"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I529" s="4"/>
    </row>
    <row r="530" spans="1:9"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I530" s="4"/>
    </row>
    <row r="531" spans="1:9"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I531" s="4"/>
    </row>
    <row r="532" spans="1:9"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I532" s="4"/>
    </row>
    <row r="533" spans="1:9"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I533" s="4"/>
    </row>
    <row r="534" spans="1:9"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I534" s="4"/>
    </row>
    <row r="535" spans="1:9"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I535" s="4"/>
    </row>
    <row r="536" spans="1:9"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I536" s="4"/>
    </row>
    <row r="537" spans="1:9"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I537" s="4"/>
    </row>
    <row r="538" spans="1:9"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I538" s="4"/>
    </row>
    <row r="539" spans="1:9"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I539" s="4"/>
    </row>
    <row r="540" spans="1:9"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I540" s="4"/>
    </row>
    <row r="541" spans="1:9"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I541" s="4"/>
    </row>
    <row r="542" spans="1:9"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I542" s="4"/>
    </row>
    <row r="543" spans="1:9"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I543" s="4"/>
    </row>
    <row r="544" spans="1:9"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I544" s="4"/>
    </row>
    <row r="545" spans="1:9"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I545" s="4"/>
    </row>
    <row r="546" spans="1:9"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I546" s="4"/>
    </row>
    <row r="547" spans="1:9"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I547" s="4"/>
    </row>
    <row r="548" spans="1:9"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I548" s="4"/>
    </row>
    <row r="549" spans="1:9"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I549" s="4"/>
    </row>
    <row r="550" spans="1:9"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I550" s="4"/>
    </row>
    <row r="551" spans="1:9"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I551" s="4"/>
    </row>
    <row r="552" spans="1:9"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I552" s="4"/>
    </row>
    <row r="553" spans="1:9"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I553" s="4"/>
    </row>
    <row r="554" spans="1:9"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I554" s="4"/>
    </row>
    <row r="555" spans="1:9"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I555" s="4"/>
    </row>
    <row r="556" spans="1:9"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I556" s="4"/>
    </row>
    <row r="557" spans="1:9"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I557" s="4"/>
    </row>
    <row r="558" spans="1:9"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I558" s="4"/>
    </row>
    <row r="559" spans="1:9"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I559" s="4"/>
    </row>
    <row r="560" spans="1:9"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I560" s="4"/>
    </row>
    <row r="561" spans="1:9"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I561" s="4"/>
    </row>
    <row r="562" spans="1:9"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I562" s="4"/>
    </row>
    <row r="563" spans="1:9"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I563" s="4"/>
    </row>
    <row r="564" spans="1:9"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I564" s="4"/>
    </row>
    <row r="565" spans="1:9"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I565" s="4"/>
    </row>
    <row r="566" spans="1:9"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I566" s="4"/>
    </row>
    <row r="567" spans="1:9"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I567" s="4"/>
    </row>
    <row r="568" spans="1:9"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I568" s="4"/>
    </row>
    <row r="569" spans="1:9"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I569" s="4"/>
    </row>
    <row r="570" spans="1:9"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I570" s="4"/>
    </row>
    <row r="571" spans="1:9"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I571" s="4"/>
    </row>
    <row r="572" spans="1:9"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I572" s="4"/>
    </row>
    <row r="573" spans="1:9"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I573" s="4"/>
    </row>
    <row r="574" spans="1:9"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I574" s="4"/>
    </row>
    <row r="575" spans="1:9"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I575" s="4"/>
    </row>
    <row r="576" spans="1:9"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I576" s="4"/>
    </row>
    <row r="577" spans="1:9"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I577" s="4"/>
    </row>
    <row r="578" spans="1:9"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I578" s="4"/>
    </row>
    <row r="579" spans="1:9"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I579" s="4"/>
    </row>
    <row r="580" spans="1:9"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I580" s="4"/>
    </row>
    <row r="581" spans="1:9"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I581" s="4"/>
    </row>
    <row r="582" spans="1:9"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I582" s="4"/>
    </row>
    <row r="583" spans="1:9"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I583" s="4"/>
    </row>
    <row r="584" spans="1:9"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I584" s="4"/>
    </row>
    <row r="585" spans="1:9"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I585" s="4"/>
    </row>
    <row r="586" spans="1:9"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I586" s="4"/>
    </row>
    <row r="587" spans="1:9"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I587" s="4"/>
    </row>
    <row r="588" spans="1:9"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I588" s="4"/>
    </row>
    <row r="589" spans="1:9"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I589" s="4"/>
    </row>
    <row r="590" spans="1:9"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I590" s="4"/>
    </row>
    <row r="591" spans="1:9"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I591" s="4"/>
    </row>
    <row r="592" spans="1:9"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I592" s="4"/>
    </row>
    <row r="593" spans="1:9"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I593" s="4"/>
    </row>
    <row r="594" spans="1:9"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I594" s="4"/>
    </row>
    <row r="595" spans="1:9"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I595" s="4"/>
    </row>
    <row r="596" spans="1:9"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I596" s="4"/>
    </row>
    <row r="597" spans="1:9"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I597" s="4"/>
    </row>
    <row r="598" spans="1:9"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I598" s="4"/>
    </row>
    <row r="599" spans="1:9"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I599" s="4"/>
    </row>
    <row r="600" spans="1:9"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I600" s="4"/>
    </row>
    <row r="601" spans="1:9"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I601" s="4"/>
    </row>
    <row r="602" spans="1:9"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I602" s="4"/>
    </row>
    <row r="603" spans="1:9"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I603" s="4"/>
    </row>
    <row r="604" spans="1:9"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I604" s="4"/>
    </row>
    <row r="605" spans="1:9"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I605" s="4"/>
    </row>
    <row r="606" spans="1:9"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I606" s="4"/>
    </row>
    <row r="607" spans="1:9"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I607" s="4"/>
    </row>
    <row r="608" spans="1:9"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I608" s="4"/>
    </row>
    <row r="609" spans="1:9"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I609" s="4"/>
    </row>
    <row r="610" spans="1:9"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I610" s="4"/>
    </row>
    <row r="611" spans="1:9"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I611" s="4"/>
    </row>
    <row r="612" spans="1:9"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I612" s="4"/>
    </row>
    <row r="613" spans="1:9"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I613" s="4"/>
    </row>
    <row r="614" spans="1:9"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I614" s="4"/>
    </row>
    <row r="615" spans="1:9"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I615" s="4"/>
    </row>
    <row r="616" spans="1:9"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I616" s="4"/>
    </row>
    <row r="617" spans="1:9"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I617" s="4"/>
    </row>
    <row r="618" spans="1:9"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I618" s="4"/>
    </row>
    <row r="619" spans="1:9"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I619" s="4"/>
    </row>
    <row r="620" spans="1:9"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I620" s="4"/>
    </row>
    <row r="621" spans="1:9"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I621" s="4"/>
    </row>
    <row r="622" spans="1:9"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I622" s="4"/>
    </row>
    <row r="623" spans="1:9"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I623" s="4"/>
    </row>
    <row r="624" spans="1:9"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I624" s="4"/>
    </row>
    <row r="625" spans="1:9"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I625" s="4"/>
    </row>
    <row r="626" spans="1:9"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I626" s="4"/>
    </row>
    <row r="627" spans="1:9"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I627" s="4"/>
    </row>
    <row r="628" spans="1:9"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I628" s="4"/>
    </row>
    <row r="629" spans="1:9"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I629" s="4"/>
    </row>
    <row r="630" spans="1:9"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I630" s="4"/>
    </row>
    <row r="631" spans="1:9"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I631" s="4"/>
    </row>
    <row r="632" spans="1:9"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I632" s="4"/>
    </row>
    <row r="633" spans="1:9"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I633" s="4"/>
    </row>
    <row r="634" spans="1:9"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I634" s="4"/>
    </row>
    <row r="635" spans="1:9"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I635" s="4"/>
    </row>
    <row r="636" spans="1:9"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I636" s="4"/>
    </row>
    <row r="637" spans="1:9"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I637" s="4"/>
    </row>
    <row r="638" spans="1:9"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I638" s="4"/>
    </row>
    <row r="639" spans="1:9"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I639" s="4"/>
    </row>
    <row r="640" spans="1:9"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I640" s="4"/>
    </row>
    <row r="641" spans="1:9"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I641" s="4"/>
    </row>
    <row r="642" spans="1:9"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I642" s="4"/>
    </row>
    <row r="643" spans="1:9"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I643" s="4"/>
    </row>
    <row r="644" spans="1:9"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I644" s="4"/>
    </row>
    <row r="645" spans="1:9"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I645" s="4"/>
    </row>
    <row r="646" spans="1:9"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I646" s="4"/>
    </row>
    <row r="647" spans="1:9"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I647" s="4"/>
    </row>
    <row r="648" spans="1:9"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I648" s="4"/>
    </row>
    <row r="649" spans="1:9"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I649" s="4"/>
    </row>
    <row r="650" spans="1:9"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I650" s="4"/>
    </row>
    <row r="651" spans="1:9"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I651" s="4"/>
    </row>
    <row r="652" spans="1:9"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I652" s="4"/>
    </row>
    <row r="653" spans="1:9"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I653" s="4"/>
    </row>
    <row r="654" spans="1:9"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I654" s="4"/>
    </row>
    <row r="655" spans="1:9"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I655" s="4"/>
    </row>
    <row r="656" spans="1:9"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I656" s="4"/>
    </row>
    <row r="657" spans="1:9"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I657" s="4"/>
    </row>
    <row r="658" spans="1:9"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I658" s="4"/>
    </row>
    <row r="659" spans="1:9"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I659" s="4"/>
    </row>
    <row r="660" spans="1:9"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I660" s="4"/>
    </row>
    <row r="661" spans="1:9"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I661" s="4"/>
    </row>
    <row r="662" spans="1:9"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I662" s="4"/>
    </row>
    <row r="663" spans="1:9"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I663" s="4"/>
    </row>
    <row r="664" spans="1:9"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I664" s="4"/>
    </row>
    <row r="665" spans="1:9"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I665" s="4"/>
    </row>
    <row r="666" spans="1:9"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I666" s="4"/>
    </row>
    <row r="667" spans="1:9"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I667" s="4"/>
    </row>
    <row r="668" spans="1:9"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I668" s="4"/>
    </row>
    <row r="669" spans="1:9"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I669" s="4"/>
    </row>
    <row r="670" spans="1:9"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I670" s="4"/>
    </row>
    <row r="671" spans="1:9"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I671" s="4"/>
    </row>
    <row r="672" spans="1:9"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I672" s="4"/>
    </row>
    <row r="673" spans="1:9"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I673" s="4"/>
    </row>
    <row r="674" spans="1:9"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I674" s="4"/>
    </row>
    <row r="675" spans="1:9"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I675" s="4"/>
    </row>
    <row r="676" spans="1:9"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I676" s="4"/>
    </row>
    <row r="677" spans="1:9"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I677" s="4"/>
    </row>
    <row r="678" spans="1:9"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I678" s="4"/>
    </row>
    <row r="679" spans="1:9"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I679" s="4"/>
    </row>
    <row r="680" spans="1:9"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I680" s="4"/>
    </row>
    <row r="681" spans="1:9"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I681" s="4"/>
    </row>
    <row r="682" spans="1:9"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I682" s="4"/>
    </row>
    <row r="683" spans="1:9"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I683" s="4"/>
    </row>
    <row r="684" spans="1:9"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I684" s="4"/>
    </row>
    <row r="685" spans="1:9"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I685" s="4"/>
    </row>
    <row r="686" spans="1:9"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I686" s="4"/>
    </row>
    <row r="687" spans="1:9"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I687" s="4"/>
    </row>
    <row r="688" spans="1:9"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I688" s="4"/>
    </row>
    <row r="689" spans="1:9"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I689" s="4"/>
    </row>
    <row r="690" spans="1:9"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I690" s="4"/>
    </row>
    <row r="691" spans="1:9"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I691" s="4"/>
    </row>
    <row r="692" spans="1:9"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I692" s="4"/>
    </row>
    <row r="693" spans="1:9"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I693" s="4"/>
    </row>
    <row r="694" spans="1:9"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I694" s="4"/>
    </row>
    <row r="695" spans="1:9"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I695" s="4"/>
    </row>
    <row r="696" spans="1:9"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I696" s="4"/>
    </row>
    <row r="697" spans="1:9"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I697" s="4"/>
    </row>
    <row r="698" spans="1:9"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I698" s="4"/>
    </row>
    <row r="699" spans="1:9"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I699" s="4"/>
    </row>
    <row r="700" spans="1:9"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I700" s="4"/>
    </row>
    <row r="701" spans="1:9"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I701" s="4"/>
    </row>
    <row r="702" spans="1:9"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I702" s="4"/>
    </row>
    <row r="703" spans="1:9"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I703" s="4"/>
    </row>
    <row r="704" spans="1:9"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I704" s="4"/>
    </row>
    <row r="705" spans="1:9"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I705" s="4"/>
    </row>
    <row r="706" spans="1:9"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I706" s="4"/>
    </row>
    <row r="707" spans="1:9"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I707" s="4"/>
    </row>
    <row r="708" spans="1:9"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I708" s="4"/>
    </row>
    <row r="709" spans="1:9"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I709" s="4"/>
    </row>
    <row r="710" spans="1:9"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I710" s="4"/>
    </row>
    <row r="711" spans="1:9"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I711" s="4"/>
    </row>
    <row r="712" spans="1:9"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I712" s="4"/>
    </row>
    <row r="713" spans="1:9"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I713" s="4"/>
    </row>
    <row r="714" spans="1:9"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I714" s="4"/>
    </row>
    <row r="715" spans="1:9"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I715" s="4"/>
    </row>
    <row r="716" spans="1:9"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I716" s="4"/>
    </row>
    <row r="717" spans="1:9"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I717" s="4"/>
    </row>
    <row r="718" spans="1:9"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I718" s="4"/>
    </row>
    <row r="719" spans="1:9"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I719" s="4"/>
    </row>
    <row r="720" spans="1:9"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I720" s="4"/>
    </row>
    <row r="721" spans="1:9"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I721" s="4"/>
    </row>
    <row r="722" spans="1:9"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I722" s="4"/>
    </row>
    <row r="723" spans="1:9"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I723" s="4"/>
    </row>
    <row r="724" spans="1:9"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I724" s="4"/>
    </row>
    <row r="725" spans="1:9"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I725" s="4"/>
    </row>
    <row r="726" spans="1:9"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I726" s="4"/>
    </row>
    <row r="727" spans="1:9"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I727" s="4"/>
    </row>
    <row r="728" spans="1:9"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I728" s="4"/>
    </row>
    <row r="729" spans="1:9"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I729" s="4"/>
    </row>
    <row r="730" spans="1:9"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I730" s="4"/>
    </row>
    <row r="731" spans="1:9"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I731" s="4"/>
    </row>
    <row r="732" spans="1:9"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I732" s="4"/>
    </row>
    <row r="733" spans="1:9"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I733" s="4"/>
    </row>
    <row r="734" spans="1:9"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I734" s="4"/>
    </row>
    <row r="735" spans="1:9"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I735" s="4"/>
    </row>
    <row r="736" spans="1:9"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I736" s="4"/>
    </row>
    <row r="737" spans="1:9"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I737" s="4"/>
    </row>
    <row r="738" spans="1:9"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I738" s="4"/>
    </row>
    <row r="739" spans="1:9"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I739" s="4"/>
    </row>
    <row r="740" spans="1:9"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I740" s="4"/>
    </row>
    <row r="741" spans="1:9"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I741" s="4"/>
    </row>
    <row r="742" spans="1:9"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I742" s="4"/>
    </row>
    <row r="743" spans="1:9"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I743" s="4"/>
    </row>
    <row r="744" spans="1:9"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I744" s="4"/>
    </row>
    <row r="745" spans="1:9"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I745" s="4"/>
    </row>
    <row r="746" spans="1:9"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I746" s="4"/>
    </row>
    <row r="747" spans="1:9"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I747" s="4"/>
    </row>
    <row r="748" spans="1:9"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I748" s="4"/>
    </row>
    <row r="749" spans="1:9"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I749" s="4"/>
    </row>
    <row r="750" spans="1:9"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I750" s="4"/>
    </row>
    <row r="751" spans="1:9"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I751" s="4"/>
    </row>
    <row r="752" spans="1:9"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I752" s="4"/>
    </row>
    <row r="753" spans="1:9"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I753" s="4"/>
    </row>
    <row r="754" spans="1:9"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I754" s="4"/>
    </row>
    <row r="755" spans="1:9"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I755" s="4"/>
    </row>
    <row r="756" spans="1:9"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I756" s="4"/>
    </row>
    <row r="757" spans="1:9"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I757" s="4"/>
    </row>
    <row r="758" spans="1:9"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I758" s="4"/>
    </row>
    <row r="759" spans="1:9"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I759" s="4"/>
    </row>
    <row r="760" spans="1:9"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I760" s="4"/>
    </row>
    <row r="761" spans="1:9"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I761" s="4"/>
    </row>
    <row r="762" spans="1:9"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I762" s="4"/>
    </row>
    <row r="763" spans="1:9"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I763" s="4"/>
    </row>
    <row r="764" spans="1:9"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I764" s="4"/>
    </row>
    <row r="765" spans="1:9"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I765" s="4"/>
    </row>
    <row r="766" spans="1:9"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I766" s="4"/>
    </row>
    <row r="767" spans="1:9"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I767" s="4"/>
    </row>
    <row r="768" spans="1:9"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I768" s="4"/>
    </row>
    <row r="769" spans="1:9"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I769" s="4"/>
    </row>
    <row r="770" spans="1:9"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I770" s="4"/>
    </row>
    <row r="771" spans="1:9"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I771" s="4"/>
    </row>
    <row r="772" spans="1:9"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I772" s="4"/>
    </row>
    <row r="773" spans="1:9"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I773" s="4"/>
    </row>
    <row r="774" spans="1:9"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I774" s="4"/>
    </row>
    <row r="775" spans="1:9"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I775" s="4"/>
    </row>
    <row r="776" spans="1:9"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I776" s="4"/>
    </row>
    <row r="777" spans="1:9"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I777" s="4"/>
    </row>
    <row r="778" spans="1:9"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I778" s="4"/>
    </row>
    <row r="779" spans="1:9"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I779" s="4"/>
    </row>
    <row r="780" spans="1:9"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I780" s="4"/>
    </row>
    <row r="781" spans="1:9"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I781" s="4"/>
    </row>
    <row r="782" spans="1:9"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I782" s="4"/>
    </row>
    <row r="783" spans="1:9"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I783" s="4"/>
    </row>
    <row r="784" spans="1:9"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I784" s="4"/>
    </row>
    <row r="785" spans="1:9"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I785" s="4"/>
    </row>
    <row r="786" spans="1:9"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I786" s="4"/>
    </row>
    <row r="787" spans="1:9"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I787" s="4"/>
    </row>
    <row r="788" spans="1:9"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I788" s="4"/>
    </row>
    <row r="789" spans="1:9"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I789" s="4"/>
    </row>
    <row r="790" spans="1:9"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I790" s="4"/>
    </row>
    <row r="791" spans="1:9"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I791" s="4"/>
    </row>
    <row r="792" spans="1:9"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I792" s="4"/>
    </row>
    <row r="793" spans="1:9"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I793" s="4"/>
    </row>
    <row r="794" spans="1:9"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I794" s="4"/>
    </row>
    <row r="795" spans="1:9"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I795" s="4"/>
    </row>
    <row r="796" spans="1:9"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I796" s="4"/>
    </row>
    <row r="797" spans="1:9"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I797" s="4"/>
    </row>
    <row r="798" spans="1:9"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I798" s="4"/>
    </row>
    <row r="799" spans="1:9"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I799" s="4"/>
    </row>
    <row r="800" spans="1:9"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I800" s="4"/>
    </row>
    <row r="801" spans="1:9"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I801" s="4"/>
    </row>
    <row r="802" spans="1:9"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I802" s="4"/>
    </row>
    <row r="803" spans="1:9"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I803" s="4"/>
    </row>
    <row r="804" spans="1:9"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I804" s="4"/>
    </row>
    <row r="805" spans="1:9"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I805" s="4"/>
    </row>
    <row r="806" spans="1:9"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I806" s="4"/>
    </row>
    <row r="807" spans="1:9"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I807" s="4"/>
    </row>
    <row r="808" spans="1:9"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I808" s="4"/>
    </row>
    <row r="809" spans="1:9"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I809" s="4"/>
    </row>
    <row r="810" spans="1:9"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I810" s="4"/>
    </row>
    <row r="811" spans="1:9"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I811" s="4"/>
    </row>
    <row r="812" spans="1:9"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I812" s="4"/>
    </row>
    <row r="813" spans="1:9"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I813" s="4"/>
    </row>
    <row r="814" spans="1:9"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I814" s="4"/>
    </row>
    <row r="815" spans="1:9"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I815" s="4"/>
    </row>
    <row r="816" spans="1:9"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I816" s="4"/>
    </row>
    <row r="817" spans="1:9"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I817" s="4"/>
    </row>
    <row r="818" spans="1:9"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I818" s="4"/>
    </row>
    <row r="819" spans="1:9"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I819" s="4"/>
    </row>
    <row r="820" spans="1:9"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I820" s="4"/>
    </row>
    <row r="821" spans="1:9"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I821" s="4"/>
    </row>
    <row r="822" spans="1:9"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I822" s="4"/>
    </row>
    <row r="823" spans="1:9"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I823" s="4"/>
    </row>
    <row r="824" spans="1:9"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I824" s="4"/>
    </row>
    <row r="825" spans="1:9"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I825" s="4"/>
    </row>
    <row r="826" spans="1:9"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I826" s="4"/>
    </row>
    <row r="827" spans="1:9"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I827" s="4"/>
    </row>
    <row r="828" spans="1:9"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I828" s="4"/>
    </row>
    <row r="829" spans="1:9"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I829" s="4"/>
    </row>
    <row r="830" spans="1:9"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I830" s="4"/>
    </row>
    <row r="831" spans="1:9"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I831" s="4"/>
    </row>
    <row r="832" spans="1:9"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I832" s="4"/>
    </row>
    <row r="833" spans="1:9"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I833" s="4"/>
    </row>
    <row r="834" spans="1:9"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I834" s="4"/>
    </row>
    <row r="835" spans="1:9"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I835" s="4"/>
    </row>
    <row r="836" spans="1:9"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I836" s="4"/>
    </row>
    <row r="837" spans="1:9"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I837" s="4"/>
    </row>
    <row r="838" spans="1:9"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I838" s="4"/>
    </row>
    <row r="839" spans="1:9"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I839" s="4"/>
    </row>
    <row r="840" spans="1:9"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I840" s="4"/>
    </row>
    <row r="841" spans="1:9"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I841" s="4"/>
    </row>
    <row r="842" spans="1:9" x14ac:dyDescent="0.25">
      <c r="A842" s="2" t="str">
        <f>IF(BD_Versos[[#This Row],[Tema_Principal]]="","",ROW(BD_Versos[[#This Row],[Tema_Principal]])-1)</f>
        <v/>
      </c>
      <c r="G842" s="6" t="str" cm="1">
        <f t="array" ref="G842">IF(OR(BD_Versos[[#This Row],[Libro]]="",BD_Versos[[#This Row],[Capítulo]]="",BD_Versos[[#This Row],[Versículo]]=""),"",ExtraerPasaje(_xlfn.CONCAT(BD_Versos[[#This Row],[Libro]],BD_Versos[[#This Row],[Capítulo]],":",BD_Versos[[#This Row],[Versículo]])))</f>
        <v/>
      </c>
      <c r="I842" s="4"/>
    </row>
    <row r="843" spans="1:9" x14ac:dyDescent="0.25">
      <c r="A843" s="2" t="str">
        <f>IF(BD_Versos[[#This Row],[Tema_Principal]]="","",ROW(BD_Versos[[#This Row],[Tema_Principal]])-1)</f>
        <v/>
      </c>
      <c r="G843" s="6" t="str" cm="1">
        <f t="array" ref="G843">IF(OR(BD_Versos[[#This Row],[Libro]]="",BD_Versos[[#This Row],[Capítulo]]="",BD_Versos[[#This Row],[Versículo]]=""),"",ExtraerPasaje(_xlfn.CONCAT(BD_Versos[[#This Row],[Libro]],BD_Versos[[#This Row],[Capítulo]],":",BD_Versos[[#This Row],[Versículo]])))</f>
        <v/>
      </c>
      <c r="I843" s="4"/>
    </row>
    <row r="844" spans="1:9" x14ac:dyDescent="0.25">
      <c r="A844" s="2" t="str">
        <f>IF(BD_Versos[[#This Row],[Tema_Principal]]="","",ROW(BD_Versos[[#This Row],[Tema_Principal]])-1)</f>
        <v/>
      </c>
      <c r="G844" s="6" t="str" cm="1">
        <f t="array" ref="G844">IF(OR(BD_Versos[[#This Row],[Libro]]="",BD_Versos[[#This Row],[Capítulo]]="",BD_Versos[[#This Row],[Versículo]]=""),"",ExtraerPasaje(_xlfn.CONCAT(BD_Versos[[#This Row],[Libro]],BD_Versos[[#This Row],[Capítulo]],":",BD_Versos[[#This Row],[Versículo]])))</f>
        <v/>
      </c>
      <c r="I844" s="4"/>
    </row>
    <row r="845" spans="1:9" x14ac:dyDescent="0.25">
      <c r="A845" s="2" t="str">
        <f>IF(BD_Versos[[#This Row],[Tema_Principal]]="","",ROW(BD_Versos[[#This Row],[Tema_Principal]])-1)</f>
        <v/>
      </c>
      <c r="G845" s="6" t="str" cm="1">
        <f t="array" ref="G845">IF(OR(BD_Versos[[#This Row],[Libro]]="",BD_Versos[[#This Row],[Capítulo]]="",BD_Versos[[#This Row],[Versículo]]=""),"",ExtraerPasaje(_xlfn.CONCAT(BD_Versos[[#This Row],[Libro]],BD_Versos[[#This Row],[Capítulo]],":",BD_Versos[[#This Row],[Versículo]])))</f>
        <v/>
      </c>
      <c r="I845" s="4"/>
    </row>
    <row r="846" spans="1:9" x14ac:dyDescent="0.25">
      <c r="A846" s="2" t="str">
        <f>IF(BD_Versos[[#This Row],[Tema_Principal]]="","",ROW(BD_Versos[[#This Row],[Tema_Principal]])-1)</f>
        <v/>
      </c>
      <c r="G846" s="6" t="str" cm="1">
        <f t="array" ref="G846">IF(OR(BD_Versos[[#This Row],[Libro]]="",BD_Versos[[#This Row],[Capítulo]]="",BD_Versos[[#This Row],[Versículo]]=""),"",ExtraerPasaje(_xlfn.CONCAT(BD_Versos[[#This Row],[Libro]],BD_Versos[[#This Row],[Capítulo]],":",BD_Versos[[#This Row],[Versículo]])))</f>
        <v/>
      </c>
      <c r="I846" s="4"/>
    </row>
    <row r="847" spans="1:9" x14ac:dyDescent="0.25">
      <c r="A847" s="2" t="str">
        <f>IF(BD_Versos[[#This Row],[Tema_Principal]]="","",ROW(BD_Versos[[#This Row],[Tema_Principal]])-1)</f>
        <v/>
      </c>
      <c r="G847" s="6" t="str" cm="1">
        <f t="array" ref="G847">IF(OR(BD_Versos[[#This Row],[Libro]]="",BD_Versos[[#This Row],[Capítulo]]="",BD_Versos[[#This Row],[Versículo]]=""),"",ExtraerPasaje(_xlfn.CONCAT(BD_Versos[[#This Row],[Libro]],BD_Versos[[#This Row],[Capítulo]],":",BD_Versos[[#This Row],[Versículo]])))</f>
        <v/>
      </c>
      <c r="I847" s="4"/>
    </row>
    <row r="848" spans="1:9" x14ac:dyDescent="0.25">
      <c r="A848" s="2" t="str">
        <f>IF(BD_Versos[[#This Row],[Tema_Principal]]="","",ROW(BD_Versos[[#This Row],[Tema_Principal]])-1)</f>
        <v/>
      </c>
      <c r="G848" s="6" t="str" cm="1">
        <f t="array" ref="G848">IF(OR(BD_Versos[[#This Row],[Libro]]="",BD_Versos[[#This Row],[Capítulo]]="",BD_Versos[[#This Row],[Versículo]]=""),"",ExtraerPasaje(_xlfn.CONCAT(BD_Versos[[#This Row],[Libro]],BD_Versos[[#This Row],[Capítulo]],":",BD_Versos[[#This Row],[Versículo]])))</f>
        <v/>
      </c>
      <c r="I848" s="4"/>
    </row>
    <row r="849" spans="1:9" x14ac:dyDescent="0.25">
      <c r="A849" s="2" t="str">
        <f>IF(BD_Versos[[#This Row],[Tema_Principal]]="","",ROW(BD_Versos[[#This Row],[Tema_Principal]])-1)</f>
        <v/>
      </c>
      <c r="G849" s="6" t="str" cm="1">
        <f t="array" ref="G849">IF(OR(BD_Versos[[#This Row],[Libro]]="",BD_Versos[[#This Row],[Capítulo]]="",BD_Versos[[#This Row],[Versículo]]=""),"",ExtraerPasaje(_xlfn.CONCAT(BD_Versos[[#This Row],[Libro]],BD_Versos[[#This Row],[Capítulo]],":",BD_Versos[[#This Row],[Versículo]])))</f>
        <v/>
      </c>
      <c r="I849" s="4"/>
    </row>
    <row r="850" spans="1:9" x14ac:dyDescent="0.25">
      <c r="A850" s="2" t="str">
        <f>IF(BD_Versos[[#This Row],[Tema_Principal]]="","",ROW(BD_Versos[[#This Row],[Tema_Principal]])-1)</f>
        <v/>
      </c>
      <c r="G850" s="6" t="str" cm="1">
        <f t="array" ref="G850">IF(OR(BD_Versos[[#This Row],[Libro]]="",BD_Versos[[#This Row],[Capítulo]]="",BD_Versos[[#This Row],[Versículo]]=""),"",ExtraerPasaje(_xlfn.CONCAT(BD_Versos[[#This Row],[Libro]],BD_Versos[[#This Row],[Capítulo]],":",BD_Versos[[#This Row],[Versículo]])))</f>
        <v/>
      </c>
      <c r="I850" s="4"/>
    </row>
    <row r="851" spans="1:9" x14ac:dyDescent="0.25">
      <c r="A851" s="2" t="str">
        <f>IF(BD_Versos[[#This Row],[Tema_Principal]]="","",ROW(BD_Versos[[#This Row],[Tema_Principal]])-1)</f>
        <v/>
      </c>
      <c r="G851" s="6" t="str" cm="1">
        <f t="array" ref="G851">IF(OR(BD_Versos[[#This Row],[Libro]]="",BD_Versos[[#This Row],[Capítulo]]="",BD_Versos[[#This Row],[Versículo]]=""),"",ExtraerPasaje(_xlfn.CONCAT(BD_Versos[[#This Row],[Libro]],BD_Versos[[#This Row],[Capítulo]],":",BD_Versos[[#This Row],[Versículo]])))</f>
        <v/>
      </c>
      <c r="I851" s="4"/>
    </row>
    <row r="852" spans="1:9" x14ac:dyDescent="0.25">
      <c r="A852" s="2" t="str">
        <f>IF(BD_Versos[[#This Row],[Tema_Principal]]="","",ROW(BD_Versos[[#This Row],[Tema_Principal]])-1)</f>
        <v/>
      </c>
      <c r="G852" s="6" t="str" cm="1">
        <f t="array" ref="G852">IF(OR(BD_Versos[[#This Row],[Libro]]="",BD_Versos[[#This Row],[Capítulo]]="",BD_Versos[[#This Row],[Versículo]]=""),"",ExtraerPasaje(_xlfn.CONCAT(BD_Versos[[#This Row],[Libro]],BD_Versos[[#This Row],[Capítulo]],":",BD_Versos[[#This Row],[Versículo]])))</f>
        <v/>
      </c>
      <c r="I852" s="4"/>
    </row>
    <row r="853" spans="1:9" x14ac:dyDescent="0.25">
      <c r="A853" s="2" t="str">
        <f>IF(BD_Versos[[#This Row],[Tema_Principal]]="","",ROW(BD_Versos[[#This Row],[Tema_Principal]])-1)</f>
        <v/>
      </c>
      <c r="G853" s="6" t="str" cm="1">
        <f t="array" ref="G853">IF(OR(BD_Versos[[#This Row],[Libro]]="",BD_Versos[[#This Row],[Capítulo]]="",BD_Versos[[#This Row],[Versículo]]=""),"",ExtraerPasaje(_xlfn.CONCAT(BD_Versos[[#This Row],[Libro]],BD_Versos[[#This Row],[Capítulo]],":",BD_Versos[[#This Row],[Versículo]])))</f>
        <v/>
      </c>
      <c r="I853" s="4"/>
    </row>
    <row r="854" spans="1:9" x14ac:dyDescent="0.25">
      <c r="A854" s="2" t="str">
        <f>IF(BD_Versos[[#This Row],[Tema_Principal]]="","",ROW(BD_Versos[[#This Row],[Tema_Principal]])-1)</f>
        <v/>
      </c>
      <c r="G854" s="6" t="str" cm="1">
        <f t="array" ref="G854">IF(OR(BD_Versos[[#This Row],[Libro]]="",BD_Versos[[#This Row],[Capítulo]]="",BD_Versos[[#This Row],[Versículo]]=""),"",ExtraerPasaje(_xlfn.CONCAT(BD_Versos[[#This Row],[Libro]],BD_Versos[[#This Row],[Capítulo]],":",BD_Versos[[#This Row],[Versículo]])))</f>
        <v/>
      </c>
      <c r="I854" s="4"/>
    </row>
    <row r="855" spans="1:9" x14ac:dyDescent="0.25">
      <c r="A855" s="2" t="str">
        <f>IF(BD_Versos[[#This Row],[Tema_Principal]]="","",ROW(BD_Versos[[#This Row],[Tema_Principal]])-1)</f>
        <v/>
      </c>
      <c r="G855" s="6" t="str" cm="1">
        <f t="array" ref="G855">IF(OR(BD_Versos[[#This Row],[Libro]]="",BD_Versos[[#This Row],[Capítulo]]="",BD_Versos[[#This Row],[Versículo]]=""),"",ExtraerPasaje(_xlfn.CONCAT(BD_Versos[[#This Row],[Libro]],BD_Versos[[#This Row],[Capítulo]],":",BD_Versos[[#This Row],[Versículo]])))</f>
        <v/>
      </c>
      <c r="I855" s="4"/>
    </row>
    <row r="856" spans="1:9" x14ac:dyDescent="0.25">
      <c r="A856" s="2" t="str">
        <f>IF(BD_Versos[[#This Row],[Tema_Principal]]="","",ROW(BD_Versos[[#This Row],[Tema_Principal]])-1)</f>
        <v/>
      </c>
      <c r="G856" s="6" t="str" cm="1">
        <f t="array" ref="G856">IF(OR(BD_Versos[[#This Row],[Libro]]="",BD_Versos[[#This Row],[Capítulo]]="",BD_Versos[[#This Row],[Versículo]]=""),"",ExtraerPasaje(_xlfn.CONCAT(BD_Versos[[#This Row],[Libro]],BD_Versos[[#This Row],[Capítulo]],":",BD_Versos[[#This Row],[Versículo]])))</f>
        <v/>
      </c>
      <c r="I856" s="4"/>
    </row>
    <row r="857" spans="1:9" x14ac:dyDescent="0.25">
      <c r="A857" s="2" t="str">
        <f>IF(BD_Versos[[#This Row],[Tema_Principal]]="","",ROW(BD_Versos[[#This Row],[Tema_Principal]])-1)</f>
        <v/>
      </c>
      <c r="G857" s="6" t="str" cm="1">
        <f t="array" ref="G857">IF(OR(BD_Versos[[#This Row],[Libro]]="",BD_Versos[[#This Row],[Capítulo]]="",BD_Versos[[#This Row],[Versículo]]=""),"",ExtraerPasaje(_xlfn.CONCAT(BD_Versos[[#This Row],[Libro]],BD_Versos[[#This Row],[Capítulo]],":",BD_Versos[[#This Row],[Versículo]])))</f>
        <v/>
      </c>
      <c r="I857" s="4"/>
    </row>
    <row r="858" spans="1:9" x14ac:dyDescent="0.25">
      <c r="A858" s="2" t="str">
        <f>IF(BD_Versos[[#This Row],[Tema_Principal]]="","",ROW(BD_Versos[[#This Row],[Tema_Principal]])-1)</f>
        <v/>
      </c>
      <c r="G858" s="6" t="str" cm="1">
        <f t="array" ref="G858">IF(OR(BD_Versos[[#This Row],[Libro]]="",BD_Versos[[#This Row],[Capítulo]]="",BD_Versos[[#This Row],[Versículo]]=""),"",ExtraerPasaje(_xlfn.CONCAT(BD_Versos[[#This Row],[Libro]],BD_Versos[[#This Row],[Capítulo]],":",BD_Versos[[#This Row],[Versículo]])))</f>
        <v/>
      </c>
      <c r="I858" s="4"/>
    </row>
    <row r="859" spans="1:9" x14ac:dyDescent="0.25">
      <c r="A859" s="2" t="str">
        <f>IF(BD_Versos[[#This Row],[Tema_Principal]]="","",ROW(BD_Versos[[#This Row],[Tema_Principal]])-1)</f>
        <v/>
      </c>
      <c r="G859" s="6" t="str" cm="1">
        <f t="array" ref="G859">IF(OR(BD_Versos[[#This Row],[Libro]]="",BD_Versos[[#This Row],[Capítulo]]="",BD_Versos[[#This Row],[Versículo]]=""),"",ExtraerPasaje(_xlfn.CONCAT(BD_Versos[[#This Row],[Libro]],BD_Versos[[#This Row],[Capítulo]],":",BD_Versos[[#This Row],[Versículo]])))</f>
        <v/>
      </c>
      <c r="I859" s="4"/>
    </row>
    <row r="860" spans="1:9" x14ac:dyDescent="0.25">
      <c r="A860" s="2" t="str">
        <f>IF(BD_Versos[[#This Row],[Tema_Principal]]="","",ROW(BD_Versos[[#This Row],[Tema_Principal]])-1)</f>
        <v/>
      </c>
      <c r="G860" s="6" t="str" cm="1">
        <f t="array" ref="G860">IF(OR(BD_Versos[[#This Row],[Libro]]="",BD_Versos[[#This Row],[Capítulo]]="",BD_Versos[[#This Row],[Versículo]]=""),"",ExtraerPasaje(_xlfn.CONCAT(BD_Versos[[#This Row],[Libro]],BD_Versos[[#This Row],[Capítulo]],":",BD_Versos[[#This Row],[Versículo]])))</f>
        <v/>
      </c>
      <c r="I860"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D2:D860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49</v>
      </c>
      <c r="B1" s="1" t="s">
        <v>3</v>
      </c>
      <c r="C1" s="1" t="s">
        <v>50</v>
      </c>
    </row>
    <row r="2" spans="1:3" x14ac:dyDescent="0.25">
      <c r="A2">
        <v>1</v>
      </c>
      <c r="B2" t="s">
        <v>51</v>
      </c>
      <c r="C2" t="str">
        <f>SUBSTITUTE(SUBSTITUTE(SUBSTITUTE(SUBSTITUTE(SUBSTITUTE(SUBSTITUTE(SUBSTITUTE(SUBSTITUTE(SUBSTITUTE(SUBSTITUTE(B2,"á","a"),"é","e"),"í","i"),"ó","o"),"ú","u"),"Á","A"),"É","E"),"Í","I"),"Ó","O"),"Ú","U")</f>
        <v>Genesis</v>
      </c>
    </row>
    <row r="3" spans="1:3" x14ac:dyDescent="0.25">
      <c r="A3">
        <v>2</v>
      </c>
      <c r="B3" t="s">
        <v>52</v>
      </c>
      <c r="C3" t="str">
        <f t="shared" ref="C3:C67" si="0">SUBSTITUTE(SUBSTITUTE(SUBSTITUTE(SUBSTITUTE(SUBSTITUTE(SUBSTITUTE(SUBSTITUTE(SUBSTITUTE(SUBSTITUTE(SUBSTITUTE(B3,"á","a"),"é","e"),"í","i"),"ó","o"),"ú","u"),"Á","A"),"É","E"),"Í","I"),"Ó","O"),"Ú","U")</f>
        <v>Exodo</v>
      </c>
    </row>
    <row r="4" spans="1:3" x14ac:dyDescent="0.25">
      <c r="A4">
        <v>3</v>
      </c>
      <c r="B4" t="s">
        <v>53</v>
      </c>
      <c r="C4" t="str">
        <f t="shared" si="0"/>
        <v>Levitico</v>
      </c>
    </row>
    <row r="5" spans="1:3" x14ac:dyDescent="0.25">
      <c r="A5">
        <v>4</v>
      </c>
      <c r="B5" t="s">
        <v>54</v>
      </c>
      <c r="C5" t="str">
        <f t="shared" si="0"/>
        <v>Numeros</v>
      </c>
    </row>
    <row r="6" spans="1:3" x14ac:dyDescent="0.25">
      <c r="A6">
        <v>5</v>
      </c>
      <c r="B6" t="s">
        <v>55</v>
      </c>
      <c r="C6" t="str">
        <f t="shared" si="0"/>
        <v>Deuteronomio</v>
      </c>
    </row>
    <row r="7" spans="1:3" x14ac:dyDescent="0.25">
      <c r="A7">
        <v>6</v>
      </c>
      <c r="B7" t="s">
        <v>56</v>
      </c>
      <c r="C7" t="str">
        <f t="shared" si="0"/>
        <v>Josue</v>
      </c>
    </row>
    <row r="8" spans="1:3" x14ac:dyDescent="0.25">
      <c r="A8">
        <v>7</v>
      </c>
      <c r="B8" t="s">
        <v>57</v>
      </c>
      <c r="C8" t="str">
        <f t="shared" si="0"/>
        <v>Jueces</v>
      </c>
    </row>
    <row r="9" spans="1:3" x14ac:dyDescent="0.25">
      <c r="A9">
        <v>8</v>
      </c>
      <c r="B9" t="s">
        <v>58</v>
      </c>
      <c r="C9" t="str">
        <f t="shared" si="0"/>
        <v>Rut</v>
      </c>
    </row>
    <row r="10" spans="1:3" x14ac:dyDescent="0.25">
      <c r="A10">
        <v>9</v>
      </c>
      <c r="B10" t="s">
        <v>59</v>
      </c>
      <c r="C10" t="str">
        <f t="shared" si="0"/>
        <v>1 Samuel</v>
      </c>
    </row>
    <row r="11" spans="1:3" x14ac:dyDescent="0.25">
      <c r="A11">
        <v>10</v>
      </c>
      <c r="B11" t="s">
        <v>60</v>
      </c>
      <c r="C11" t="str">
        <f t="shared" si="0"/>
        <v>2 Samuel</v>
      </c>
    </row>
    <row r="12" spans="1:3" x14ac:dyDescent="0.25">
      <c r="A12">
        <v>11</v>
      </c>
      <c r="B12" t="s">
        <v>61</v>
      </c>
      <c r="C12" t="str">
        <f t="shared" si="0"/>
        <v>1 Reyes</v>
      </c>
    </row>
    <row r="13" spans="1:3" x14ac:dyDescent="0.25">
      <c r="A13">
        <v>12</v>
      </c>
      <c r="B13" t="s">
        <v>62</v>
      </c>
      <c r="C13" t="str">
        <f t="shared" si="0"/>
        <v>2 Reyes</v>
      </c>
    </row>
    <row r="14" spans="1:3" x14ac:dyDescent="0.25">
      <c r="A14">
        <v>13</v>
      </c>
      <c r="B14" t="s">
        <v>63</v>
      </c>
      <c r="C14" t="str">
        <f t="shared" si="0"/>
        <v>1 Cronicas</v>
      </c>
    </row>
    <row r="15" spans="1:3" x14ac:dyDescent="0.25">
      <c r="A15">
        <v>14</v>
      </c>
      <c r="B15" t="s">
        <v>64</v>
      </c>
      <c r="C15" t="str">
        <f t="shared" si="0"/>
        <v>2 Cronicas</v>
      </c>
    </row>
    <row r="16" spans="1:3" x14ac:dyDescent="0.25">
      <c r="A16">
        <v>15</v>
      </c>
      <c r="B16" t="s">
        <v>65</v>
      </c>
      <c r="C16" t="str">
        <f t="shared" si="0"/>
        <v>Esdras</v>
      </c>
    </row>
    <row r="17" spans="1:3" x14ac:dyDescent="0.25">
      <c r="A17">
        <v>16</v>
      </c>
      <c r="B17" t="s">
        <v>66</v>
      </c>
      <c r="C17" t="str">
        <f t="shared" si="0"/>
        <v>Nehemias</v>
      </c>
    </row>
    <row r="18" spans="1:3" x14ac:dyDescent="0.25">
      <c r="A18">
        <v>17</v>
      </c>
      <c r="B18" t="s">
        <v>67</v>
      </c>
      <c r="C18" t="str">
        <f t="shared" si="0"/>
        <v>Ester</v>
      </c>
    </row>
    <row r="19" spans="1:3" x14ac:dyDescent="0.25">
      <c r="A19">
        <v>18</v>
      </c>
      <c r="B19" t="s">
        <v>45</v>
      </c>
      <c r="C19" t="str">
        <f t="shared" si="0"/>
        <v>Job</v>
      </c>
    </row>
    <row r="20" spans="1:3" x14ac:dyDescent="0.25">
      <c r="A20">
        <v>19</v>
      </c>
      <c r="B20" t="s">
        <v>68</v>
      </c>
      <c r="C20" t="str">
        <f t="shared" si="0"/>
        <v>Salmos</v>
      </c>
    </row>
    <row r="21" spans="1:3" x14ac:dyDescent="0.25">
      <c r="A21">
        <v>20</v>
      </c>
      <c r="B21" t="s">
        <v>69</v>
      </c>
      <c r="C21" t="str">
        <f t="shared" si="0"/>
        <v>Proverbios</v>
      </c>
    </row>
    <row r="22" spans="1:3" x14ac:dyDescent="0.25">
      <c r="A22">
        <v>21</v>
      </c>
      <c r="B22" t="s">
        <v>70</v>
      </c>
      <c r="C22" t="str">
        <f t="shared" si="0"/>
        <v>Eclesiastes</v>
      </c>
    </row>
    <row r="23" spans="1:3" x14ac:dyDescent="0.25">
      <c r="A23">
        <v>22</v>
      </c>
      <c r="B23" t="s">
        <v>71</v>
      </c>
      <c r="C23" t="str">
        <f t="shared" si="0"/>
        <v>Cantares</v>
      </c>
    </row>
    <row r="24" spans="1:3" x14ac:dyDescent="0.25">
      <c r="A24">
        <v>23</v>
      </c>
      <c r="B24" t="s">
        <v>72</v>
      </c>
      <c r="C24" t="str">
        <f t="shared" si="0"/>
        <v>Isaias</v>
      </c>
    </row>
    <row r="25" spans="1:3" x14ac:dyDescent="0.25">
      <c r="A25">
        <v>24</v>
      </c>
      <c r="B25" t="s">
        <v>73</v>
      </c>
      <c r="C25" t="str">
        <f t="shared" si="0"/>
        <v>Jeremias</v>
      </c>
    </row>
    <row r="26" spans="1:3" x14ac:dyDescent="0.25">
      <c r="A26">
        <v>25</v>
      </c>
      <c r="B26" t="s">
        <v>74</v>
      </c>
      <c r="C26" t="str">
        <f t="shared" si="0"/>
        <v>Lamentaciones</v>
      </c>
    </row>
    <row r="27" spans="1:3" x14ac:dyDescent="0.25">
      <c r="A27">
        <v>26</v>
      </c>
      <c r="B27" t="s">
        <v>75</v>
      </c>
      <c r="C27" t="str">
        <f t="shared" si="0"/>
        <v>Ezequiel</v>
      </c>
    </row>
    <row r="28" spans="1:3" x14ac:dyDescent="0.25">
      <c r="A28">
        <v>27</v>
      </c>
      <c r="B28" t="s">
        <v>76</v>
      </c>
      <c r="C28" t="str">
        <f t="shared" si="0"/>
        <v>Daniel</v>
      </c>
    </row>
    <row r="29" spans="1:3" x14ac:dyDescent="0.25">
      <c r="A29">
        <v>28</v>
      </c>
      <c r="B29" t="s">
        <v>77</v>
      </c>
      <c r="C29" t="str">
        <f t="shared" si="0"/>
        <v>Oseas</v>
      </c>
    </row>
    <row r="30" spans="1:3" x14ac:dyDescent="0.25">
      <c r="A30">
        <v>29</v>
      </c>
      <c r="B30" t="s">
        <v>78</v>
      </c>
      <c r="C30" t="str">
        <f t="shared" si="0"/>
        <v>Joel</v>
      </c>
    </row>
    <row r="31" spans="1:3" x14ac:dyDescent="0.25">
      <c r="A31">
        <v>30</v>
      </c>
      <c r="B31" t="s">
        <v>79</v>
      </c>
      <c r="C31" t="str">
        <f t="shared" si="0"/>
        <v>Amos</v>
      </c>
    </row>
    <row r="32" spans="1:3" x14ac:dyDescent="0.25">
      <c r="A32">
        <v>31</v>
      </c>
      <c r="B32" t="s">
        <v>80</v>
      </c>
      <c r="C32" t="str">
        <f t="shared" si="0"/>
        <v>Abdias</v>
      </c>
    </row>
    <row r="33" spans="1:3" x14ac:dyDescent="0.25">
      <c r="A33">
        <v>32</v>
      </c>
      <c r="B33" t="s">
        <v>81</v>
      </c>
      <c r="C33" t="str">
        <f t="shared" si="0"/>
        <v>Jonas</v>
      </c>
    </row>
    <row r="34" spans="1:3" x14ac:dyDescent="0.25">
      <c r="A34">
        <v>33</v>
      </c>
      <c r="B34" t="s">
        <v>82</v>
      </c>
      <c r="C34" t="str">
        <f t="shared" si="0"/>
        <v>Miqueas</v>
      </c>
    </row>
    <row r="35" spans="1:3" x14ac:dyDescent="0.25">
      <c r="A35">
        <v>34</v>
      </c>
      <c r="B35" t="s">
        <v>83</v>
      </c>
      <c r="C35" t="str">
        <f t="shared" si="0"/>
        <v>Nahum</v>
      </c>
    </row>
    <row r="36" spans="1:3" x14ac:dyDescent="0.25">
      <c r="A36">
        <v>35</v>
      </c>
      <c r="B36" t="s">
        <v>84</v>
      </c>
      <c r="C36" t="str">
        <f t="shared" si="0"/>
        <v>Habacuc</v>
      </c>
    </row>
    <row r="37" spans="1:3" x14ac:dyDescent="0.25">
      <c r="A37">
        <v>36</v>
      </c>
      <c r="B37" t="s">
        <v>85</v>
      </c>
      <c r="C37" t="str">
        <f t="shared" si="0"/>
        <v>Sofonias</v>
      </c>
    </row>
    <row r="38" spans="1:3" x14ac:dyDescent="0.25">
      <c r="A38">
        <v>37</v>
      </c>
      <c r="B38" t="s">
        <v>86</v>
      </c>
      <c r="C38" t="str">
        <f t="shared" si="0"/>
        <v>Hageo</v>
      </c>
    </row>
    <row r="39" spans="1:3" x14ac:dyDescent="0.25">
      <c r="A39">
        <v>38</v>
      </c>
      <c r="B39" t="s">
        <v>87</v>
      </c>
      <c r="C39" t="str">
        <f t="shared" si="0"/>
        <v>Zacarias</v>
      </c>
    </row>
    <row r="40" spans="1:3" x14ac:dyDescent="0.25">
      <c r="A40">
        <v>39</v>
      </c>
      <c r="B40" t="s">
        <v>301</v>
      </c>
      <c r="C40" t="str">
        <f>SUBSTITUTE(SUBSTITUTE(SUBSTITUTE(SUBSTITUTE(SUBSTITUTE(SUBSTITUTE(SUBSTITUTE(SUBSTITUTE(SUBSTITUTE(SUBSTITUTE(B40,"á","a"),"é","e"),"í","i"),"ó","o"),"ú","u"),"Á","A"),"É","E"),"Í","I"),"Ó","O"),"Ú","U")</f>
        <v>Malaquias</v>
      </c>
    </row>
    <row r="41" spans="1:3" x14ac:dyDescent="0.25">
      <c r="A41">
        <v>40</v>
      </c>
      <c r="B41" t="s">
        <v>47</v>
      </c>
      <c r="C41" t="str">
        <f t="shared" si="0"/>
        <v>Mateo</v>
      </c>
    </row>
    <row r="42" spans="1:3" x14ac:dyDescent="0.25">
      <c r="A42">
        <v>41</v>
      </c>
      <c r="B42" t="s">
        <v>27</v>
      </c>
      <c r="C42" t="str">
        <f t="shared" si="0"/>
        <v>Marcos</v>
      </c>
    </row>
    <row r="43" spans="1:3" x14ac:dyDescent="0.25">
      <c r="A43">
        <v>42</v>
      </c>
      <c r="B43" t="s">
        <v>30</v>
      </c>
      <c r="C43" t="str">
        <f t="shared" si="0"/>
        <v>Lucas</v>
      </c>
    </row>
    <row r="44" spans="1:3" x14ac:dyDescent="0.25">
      <c r="A44">
        <v>43</v>
      </c>
      <c r="B44" t="s">
        <v>88</v>
      </c>
      <c r="C44" t="str">
        <f t="shared" si="0"/>
        <v>Juan</v>
      </c>
    </row>
    <row r="45" spans="1:3" x14ac:dyDescent="0.25">
      <c r="A45">
        <v>44</v>
      </c>
      <c r="B45" t="s">
        <v>10</v>
      </c>
      <c r="C45" t="str">
        <f t="shared" si="0"/>
        <v>Hechos</v>
      </c>
    </row>
    <row r="46" spans="1:3" x14ac:dyDescent="0.25">
      <c r="A46">
        <v>45</v>
      </c>
      <c r="B46" t="s">
        <v>89</v>
      </c>
      <c r="C46" t="str">
        <f t="shared" si="0"/>
        <v>Romanos</v>
      </c>
    </row>
    <row r="47" spans="1:3" x14ac:dyDescent="0.25">
      <c r="A47">
        <v>46</v>
      </c>
      <c r="B47" t="s">
        <v>12</v>
      </c>
      <c r="C47" t="str">
        <f t="shared" si="0"/>
        <v>1 Corintios</v>
      </c>
    </row>
    <row r="48" spans="1:3" x14ac:dyDescent="0.25">
      <c r="A48">
        <v>47</v>
      </c>
      <c r="B48" t="s">
        <v>33</v>
      </c>
      <c r="C48" t="str">
        <f t="shared" si="0"/>
        <v>2 Corintios</v>
      </c>
    </row>
    <row r="49" spans="1:3" x14ac:dyDescent="0.25">
      <c r="A49">
        <v>48</v>
      </c>
      <c r="B49" t="s">
        <v>90</v>
      </c>
      <c r="C49" t="str">
        <f t="shared" si="0"/>
        <v>Galatas</v>
      </c>
    </row>
    <row r="50" spans="1:3" x14ac:dyDescent="0.25">
      <c r="A50">
        <v>49</v>
      </c>
      <c r="B50" t="s">
        <v>36</v>
      </c>
      <c r="C50" t="str">
        <f t="shared" si="0"/>
        <v>Efesios</v>
      </c>
    </row>
    <row r="51" spans="1:3" x14ac:dyDescent="0.25">
      <c r="A51">
        <v>50</v>
      </c>
      <c r="B51" t="s">
        <v>17</v>
      </c>
      <c r="C51" t="str">
        <f t="shared" si="0"/>
        <v>Filipenses</v>
      </c>
    </row>
    <row r="52" spans="1:3" x14ac:dyDescent="0.25">
      <c r="A52">
        <v>51</v>
      </c>
      <c r="B52" t="s">
        <v>91</v>
      </c>
      <c r="C52" t="str">
        <f t="shared" si="0"/>
        <v>Colosenses</v>
      </c>
    </row>
    <row r="53" spans="1:3" x14ac:dyDescent="0.25">
      <c r="A53">
        <v>52</v>
      </c>
      <c r="B53" t="s">
        <v>92</v>
      </c>
      <c r="C53" t="str">
        <f t="shared" si="0"/>
        <v>1 Tesalonicenses</v>
      </c>
    </row>
    <row r="54" spans="1:3" x14ac:dyDescent="0.25">
      <c r="A54">
        <v>53</v>
      </c>
      <c r="B54" t="s">
        <v>37</v>
      </c>
      <c r="C54" t="str">
        <f t="shared" si="0"/>
        <v>2 Tesalonicenses</v>
      </c>
    </row>
    <row r="55" spans="1:3" x14ac:dyDescent="0.25">
      <c r="A55">
        <v>54</v>
      </c>
      <c r="B55" t="s">
        <v>93</v>
      </c>
      <c r="C55" t="str">
        <f t="shared" si="0"/>
        <v>1 Timoteo</v>
      </c>
    </row>
    <row r="56" spans="1:3" x14ac:dyDescent="0.25">
      <c r="A56">
        <v>55</v>
      </c>
      <c r="B56" t="s">
        <v>20</v>
      </c>
      <c r="C56" t="str">
        <f t="shared" si="0"/>
        <v>2 Timoteo</v>
      </c>
    </row>
    <row r="57" spans="1:3" x14ac:dyDescent="0.25">
      <c r="A57">
        <v>56</v>
      </c>
      <c r="B57" t="s">
        <v>94</v>
      </c>
      <c r="C57" t="str">
        <f t="shared" si="0"/>
        <v>Tito</v>
      </c>
    </row>
    <row r="58" spans="1:3" x14ac:dyDescent="0.25">
      <c r="A58">
        <v>57</v>
      </c>
      <c r="B58" t="s">
        <v>95</v>
      </c>
      <c r="C58" t="str">
        <f t="shared" si="0"/>
        <v>Filemon</v>
      </c>
    </row>
    <row r="59" spans="1:3" x14ac:dyDescent="0.25">
      <c r="A59">
        <v>58</v>
      </c>
      <c r="B59" t="s">
        <v>24</v>
      </c>
      <c r="C59" t="str">
        <f t="shared" si="0"/>
        <v>Hebreos</v>
      </c>
    </row>
    <row r="60" spans="1:3" x14ac:dyDescent="0.25">
      <c r="A60">
        <v>59</v>
      </c>
      <c r="B60" t="s">
        <v>96</v>
      </c>
      <c r="C60" t="str">
        <f t="shared" si="0"/>
        <v>Santiago</v>
      </c>
    </row>
    <row r="61" spans="1:3" x14ac:dyDescent="0.25">
      <c r="A61">
        <v>60</v>
      </c>
      <c r="B61" t="s">
        <v>97</v>
      </c>
      <c r="C61" t="str">
        <f t="shared" si="0"/>
        <v>1 Pedro</v>
      </c>
    </row>
    <row r="62" spans="1:3" x14ac:dyDescent="0.25">
      <c r="A62">
        <v>61</v>
      </c>
      <c r="B62" t="s">
        <v>98</v>
      </c>
      <c r="C62" t="str">
        <f t="shared" si="0"/>
        <v>2 Pedro</v>
      </c>
    </row>
    <row r="63" spans="1:3" x14ac:dyDescent="0.25">
      <c r="A63">
        <v>62</v>
      </c>
      <c r="B63" t="s">
        <v>99</v>
      </c>
      <c r="C63" t="str">
        <f t="shared" si="0"/>
        <v>1 Juan</v>
      </c>
    </row>
    <row r="64" spans="1:3" x14ac:dyDescent="0.25">
      <c r="A64">
        <v>63</v>
      </c>
      <c r="B64" t="s">
        <v>100</v>
      </c>
      <c r="C64" t="str">
        <f t="shared" si="0"/>
        <v>2 Juan</v>
      </c>
    </row>
    <row r="65" spans="1:3" x14ac:dyDescent="0.25">
      <c r="A65">
        <v>64</v>
      </c>
      <c r="B65" t="s">
        <v>101</v>
      </c>
      <c r="C65" t="str">
        <f t="shared" si="0"/>
        <v>3 Juan</v>
      </c>
    </row>
    <row r="66" spans="1:3" x14ac:dyDescent="0.25">
      <c r="A66">
        <v>65</v>
      </c>
      <c r="B66" t="s">
        <v>102</v>
      </c>
      <c r="C66" t="str">
        <f t="shared" si="0"/>
        <v>Judas</v>
      </c>
    </row>
    <row r="67" spans="1:3" x14ac:dyDescent="0.25">
      <c r="A67">
        <v>66</v>
      </c>
      <c r="B67" t="s">
        <v>39</v>
      </c>
      <c r="C67" t="str">
        <f t="shared" si="0"/>
        <v>Apocalipsis</v>
      </c>
    </row>
    <row r="68" spans="1:3" x14ac:dyDescent="0.2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2026-07-29T22:10:11Z</dcterms:modified>
  <cp:category/>
  <cp:contentStatus/>
</cp:coreProperties>
</file>