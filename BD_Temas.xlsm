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375" documentId="8_{3B3D53F3-38FD-4322-88E2-8AF79EFFACD8}" xr6:coauthVersionLast="47" xr6:coauthVersionMax="47" xr10:uidLastSave="{95C41C20-9737-4F0C-B9EC-599013E0FA05}"/>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1" i="1" l="1"/>
  <c r="G271" i="1" a="1"/>
  <c r="A284" i="1"/>
  <c r="H283" i="1"/>
  <c r="A283" i="1"/>
  <c r="I284" i="1" s="1"/>
  <c r="A227" i="1"/>
  <c r="G227" i="1" a="1"/>
  <c r="A276" i="1"/>
  <c r="H275" i="1" s="1"/>
  <c r="G276" i="1" a="1"/>
  <c r="A281" i="1"/>
  <c r="A277" i="1"/>
  <c r="A275" i="1"/>
  <c r="A269" i="1"/>
  <c r="I270" i="1" s="1"/>
  <c r="A268" i="1"/>
  <c r="H267" i="1" s="1"/>
  <c r="A256" i="1"/>
  <c r="H255" i="1" s="1"/>
  <c r="A255" i="1"/>
  <c r="I256" i="1" s="1"/>
  <c r="A274" i="1"/>
  <c r="I275" i="1" s="1"/>
  <c r="A273" i="1"/>
  <c r="A272" i="1"/>
  <c r="A244" i="1"/>
  <c r="H243" i="1" s="1"/>
  <c r="A262" i="1"/>
  <c r="H261" i="1" s="1"/>
  <c r="A259" i="1"/>
  <c r="H258" i="1" s="1"/>
  <c r="A243" i="1"/>
  <c r="A242" i="1"/>
  <c r="A261" i="1"/>
  <c r="A260" i="1"/>
  <c r="I261" i="1" s="1"/>
  <c r="A249" i="1"/>
  <c r="H248" i="1" s="1"/>
  <c r="A248" i="1"/>
  <c r="I249" i="1" s="1"/>
  <c r="A226" i="1"/>
  <c r="A254" i="1"/>
  <c r="H253" i="1" s="1"/>
  <c r="A253" i="1"/>
  <c r="A241" i="1"/>
  <c r="I242" i="1" s="1"/>
  <c r="A252" i="1"/>
  <c r="A238" i="1"/>
  <c r="A288" i="1"/>
  <c r="A289" i="1"/>
  <c r="A245" i="1"/>
  <c r="I246" i="1" s="1"/>
  <c r="A246" i="1"/>
  <c r="A247" i="1"/>
  <c r="H246" i="1" s="1"/>
  <c r="A237" i="1"/>
  <c r="A240" i="1"/>
  <c r="I241" i="1" s="1"/>
  <c r="A239" i="1"/>
  <c r="I240" i="1" s="1"/>
  <c r="A287" i="1"/>
  <c r="A229" i="1"/>
  <c r="A230" i="1"/>
  <c r="A231" i="1"/>
  <c r="A232" i="1"/>
  <c r="A234" i="1"/>
  <c r="H233" i="1" s="1"/>
  <c r="A233" i="1"/>
  <c r="A235" i="1"/>
  <c r="I236" i="1" s="1"/>
  <c r="A236" i="1"/>
  <c r="H235" i="1" s="1"/>
  <c r="A215" i="1"/>
  <c r="I216" i="1" s="1"/>
  <c r="A218" i="1"/>
  <c r="A219" i="1"/>
  <c r="H217" i="1" s="1"/>
  <c r="A216" i="1"/>
  <c r="I217" i="1" s="1"/>
  <c r="A217" i="1"/>
  <c r="H219" i="1" s="1"/>
  <c r="A220" i="1"/>
  <c r="A221" i="1"/>
  <c r="I222" i="1" s="1"/>
  <c r="A206" i="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A116" i="1"/>
  <c r="A117" i="1"/>
  <c r="A118" i="1"/>
  <c r="I119" i="1" s="1"/>
  <c r="A119" i="1"/>
  <c r="H118" i="1" s="1"/>
  <c r="A120" i="1"/>
  <c r="I121" i="1" s="1"/>
  <c r="A121" i="1"/>
  <c r="H120" i="1" s="1"/>
  <c r="A68" i="1"/>
  <c r="A67" i="1"/>
  <c r="I68" i="1" s="1"/>
  <c r="A31" i="1"/>
  <c r="A32" i="1"/>
  <c r="A33" i="1"/>
  <c r="A34" i="1"/>
  <c r="A35" i="1"/>
  <c r="A36" i="1"/>
  <c r="A37" i="1"/>
  <c r="A38" i="1"/>
  <c r="A39" i="1"/>
  <c r="A40" i="1"/>
  <c r="A41" i="1"/>
  <c r="A42" i="1"/>
  <c r="A43" i="1"/>
  <c r="H42" i="1" s="1"/>
  <c r="A21" i="1"/>
  <c r="A22" i="1"/>
  <c r="A23" i="1"/>
  <c r="A24" i="1"/>
  <c r="A25" i="1"/>
  <c r="A26" i="1"/>
  <c r="A27" i="1"/>
  <c r="A28" i="1"/>
  <c r="A29" i="1"/>
  <c r="I30" i="1" s="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H29" i="1" s="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I215" i="1" s="1"/>
  <c r="A222" i="1"/>
  <c r="A223" i="1"/>
  <c r="A224" i="1"/>
  <c r="H223" i="1" s="1"/>
  <c r="A228" i="1"/>
  <c r="A286" i="1"/>
  <c r="I287" i="1" s="1"/>
  <c r="A225" i="1"/>
  <c r="A250" i="1"/>
  <c r="I251" i="1" s="1"/>
  <c r="A251" i="1"/>
  <c r="A257" i="1"/>
  <c r="I258" i="1" s="1"/>
  <c r="A258" i="1"/>
  <c r="A270" i="1"/>
  <c r="A263" i="1"/>
  <c r="I264" i="1" s="1"/>
  <c r="A264" i="1"/>
  <c r="A265" i="1"/>
  <c r="A266" i="1"/>
  <c r="A267" i="1"/>
  <c r="A285" i="1"/>
  <c r="A278" i="1"/>
  <c r="A279" i="1"/>
  <c r="A280" i="1"/>
  <c r="A282"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G280" i="1" a="1"/>
  <c r="G281" i="1" a="1"/>
  <c r="G282"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H274" i="1" l="1"/>
  <c r="I276" i="1"/>
  <c r="I289" i="1"/>
  <c r="H287" i="1"/>
  <c r="I231" i="1"/>
  <c r="H288" i="1"/>
  <c r="I288" i="1"/>
  <c r="H286" i="1"/>
  <c r="I230" i="1"/>
  <c r="H228" i="1"/>
  <c r="H229" i="1"/>
  <c r="I232" i="1"/>
  <c r="H289" i="1"/>
  <c r="I233" i="1"/>
  <c r="H231" i="1"/>
  <c r="I234" i="1"/>
  <c r="H232" i="1"/>
  <c r="I219" i="1"/>
  <c r="H216" i="1"/>
  <c r="H273" i="1"/>
  <c r="I274" i="1"/>
  <c r="H272" i="1"/>
  <c r="I273" i="1"/>
  <c r="H270" i="1"/>
  <c r="H242" i="1"/>
  <c r="I244" i="1"/>
  <c r="I262" i="1"/>
  <c r="H260" i="1"/>
  <c r="I272" i="1"/>
  <c r="H269" i="1"/>
  <c r="I265" i="1"/>
  <c r="H263" i="1"/>
  <c r="I266" i="1"/>
  <c r="H264" i="1"/>
  <c r="I267" i="1"/>
  <c r="H265" i="1"/>
  <c r="I268" i="1"/>
  <c r="H266" i="1"/>
  <c r="H257" i="1"/>
  <c r="I259" i="1"/>
  <c r="H241" i="1"/>
  <c r="H240" i="1"/>
  <c r="I254" i="1"/>
  <c r="H252" i="1"/>
  <c r="I253" i="1"/>
  <c r="H251" i="1"/>
  <c r="H114" i="1"/>
  <c r="I116" i="1"/>
  <c r="I117" i="1"/>
  <c r="H115" i="1"/>
  <c r="I252" i="1"/>
  <c r="H250" i="1"/>
  <c r="I247" i="1"/>
  <c r="H245" i="1"/>
  <c r="H239" i="1"/>
  <c r="H214" i="1"/>
  <c r="H218" i="1"/>
  <c r="I220" i="1"/>
  <c r="H221" i="1"/>
  <c r="I223" i="1"/>
  <c r="I224" i="1"/>
  <c r="H222" i="1"/>
  <c r="H116" i="1"/>
  <c r="I118" i="1"/>
  <c r="I207" i="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I120" i="1"/>
  <c r="H197" i="1"/>
  <c r="H171" i="1"/>
  <c r="H209" i="1"/>
  <c r="I163" i="1"/>
  <c r="I188" i="1"/>
  <c r="I204" i="1"/>
  <c r="H206" i="1"/>
  <c r="I185" i="1"/>
  <c r="I213" i="1"/>
  <c r="I201" i="1"/>
  <c r="I200" i="1"/>
  <c r="I176" i="1"/>
  <c r="I153" i="1"/>
  <c r="H152" i="1"/>
  <c r="I175" i="1"/>
  <c r="I152" i="1"/>
  <c r="I151"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I1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<sst xmlns="http://schemas.openxmlformats.org/spreadsheetml/2006/main" count="2039" uniqueCount="639">
  <si>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</si>
  <si>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</si>
  <si>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</si>
  <si>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</si>
  <si>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</si>
  <si>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</si>
  <si>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</si>
  <si>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</si>
  <si>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</si>
  <si>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</si>
  <si>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</si>
  <si>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</si>
  <si>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</si>
  <si>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</si>
  <si>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</si>
  <si>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</si>
  <si>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</si>
  <si>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</si>
  <si>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</si>
  <si>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</si>
  <si>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</si>
  <si>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</si>
  <si>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</si>
  <si>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</si>
  <si>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</si>
  <si>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</si>
  <si>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</si>
  <si>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</si>
  <si>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</si>
  <si>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</si>
  <si>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</si>
  <si>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</si>
  <si>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</si>
  <si>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</si>
  <si>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</si>
  <si>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</si>
  <si>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</si>
  <si>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</si>
  <si>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</si>
  <si>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</si>
  <si>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</si>
  <si>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</si>
  <si>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</si>
  <si>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</si>
  <si>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</si>
  <si>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</si>
  <si>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</si>
  <si>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</si>
  <si>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</si>
  <si>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</si>
  <si>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</si>
  <si>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</si>
  <si>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</si>
  <si>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</si>
  <si>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</si>
  <si>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</si>
  <si>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</si>
  <si>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</si>
  <si>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</si>
  <si>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</si>
  <si>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</si>
  <si>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</si>
  <si>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</si>
  <si>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</si>
  <si>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</si>
  <si>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</si>
  <si>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</si>
  <si>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</si>
  <si>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</si>
  <si>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</si>
  <si>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</si>
  <si>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</si>
  <si>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</si>
  <si>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</si>
  <si>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</si>
  <si>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</si>
  <si>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</si>
  <si>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</si>
  <si>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</si>
  <si>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</si>
  <si>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</si>
  <si>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</si>
  <si>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</si>
  <si>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</si>
  <si>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</si>
  <si>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</si>
  <si>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</si>
  <si>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</si>
  <si>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</si>
  <si>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</si>
  <si>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</si>
  <si>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</si>
  <si>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</si>
  <si>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</si>
  <si>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</si>
  <si>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</si>
  <si>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</si>
  <si>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</si>
  <si>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</si>
  <si>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</si>
  <si>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</si>
  <si>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</si>
  <si>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</si>
  <si>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</si>
  <si>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</si>
  <si>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</si>
  <si>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</si>
  <si>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</si>
  <si>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</si>
  <si>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</si>
  <si>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</si>
  <si>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</si>
  <si>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</si>
  <si>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</si>
  <si>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</si>
  <si>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</si>
  <si>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</si>
  <si>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</si>
  <si>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</si>
  <si>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</si>
  <si>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</si>
  <si>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</si>
  <si>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</si>
  <si>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</si>
  <si>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</si>
  <si>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</si>
  <si>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</si>
  <si>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</si>
  <si>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</si>
  <si>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</si>
  <si>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</si>
  <si>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</si>
  <si>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</si>
  <si>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</si>
  <si>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</si>
  <si>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</si>
  <si>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</si>
  <si>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</si>
  <si>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</si>
  <si>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</si>
  <si>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</si>
  <si>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</si>
  <si>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</si>
  <si>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</si>
  <si>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</si>
  <si>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</si>
  <si>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</si>
  <si>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</si>
  <si>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</si>
  <si>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</si>
  <si>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</si>
  <si>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</si>
  <si>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</si>
  <si>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</si>
  <si>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</si>
  <si>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</si>
  <si>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</si>
  <si>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</si>
  <si>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</si>
  <si>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</si>
  <si>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</si>
  <si>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</si>
  <si>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</si>
  <si>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</si>
  <si>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</si>
  <si>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</si>
  <si>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</si>
  <si>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</si>
  <si>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</si>
  <si>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</si>
  <si>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</si>
  <si>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</si>
  <si>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</si>
  <si>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</si>
  <si>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</si>
  <si>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</si>
  <si>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</si>
  <si>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</si>
  <si>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</si>
  <si>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</si>
  <si>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</si>
  <si>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</si>
  <si>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</si>
  <si>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</si>
  <si>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</si>
  <si>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</si>
  <si>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</si>
  <si>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</si>
  <si>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</si>
  <si>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</si>
  <si>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</si>
  <si>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</si>
  <si>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</si>
  <si>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</si>
  <si>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</si>
  <si>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</si>
  <si>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</si>
  <si>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</si>
  <si>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</si>
  <si>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</si>
  <si>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</si>
  <si>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</si>
  <si>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</si>
  <si>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</si>
  <si>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</si>
  <si>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</si>
  <si>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</si>
  <si>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</si>
  <si>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</si>
  <si>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</si>
  <si>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</si>
  <si>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</si>
  <si>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</si>
  <si>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</si>
  <si>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</si>
  <si>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</si>
  <si>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</si>
  <si>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</si>
  <si>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</si>
  <si>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</si>
  <si>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</si>
  <si>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</si>
  <si>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</si>
  <si>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</si>
  <si>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</si>
  <si>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</si>
  <si>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</si>
  <si>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</si>
  <si>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</si>
  <si>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</si>
  <si>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</si>
  <si>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</si>
  <si>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</si>
  <si>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</si>
  <si>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</si>
  <si>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</si>
  <si>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</si>
  <si>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</si>
  <si>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</si>
  <si>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</si>
  <si>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</si>
  <si>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</si>
  <si>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</si>
  <si>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</si>
  <si>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</si>
  <si>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</si>
  <si>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</si>
  <si>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</si>
  <si>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</si>
  <si>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</si>
  <si>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</si>
  <si>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</si>
  <si>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</si>
  <si>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</si>
  <si>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</si>
  <si>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</si>
  <si>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</si>
  <si>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</si>
  <si>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</si>
  <si>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</si>
  <si>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</si>
  <si>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</si>
  <si>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</si>
  <si>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</si>
  <si>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</si>
  <si>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</si>
  <si>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</si>
  <si>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</si>
  <si>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</si>
  <si>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</si>
  <si>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</si>
  <si>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</si>
  <si>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</si>
  <si>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</si>
  <si>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</si>
  <si>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</si>
  <si>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</si>
  <si>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</si>
  <si>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</si>
  <si>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</si>
  <si>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</si>
  <si>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</si>
  <si>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</si>
  <si>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</si>
  <si>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</si>
  <si>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</si>
  <si>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</si>
  <si>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</si>
  <si>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</si>
  <si>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</si>
  <si>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</si>
  <si>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</si>
  <si>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</si>
  <si>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</si>
  <si>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</si>
  <si>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</si>
  <si>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</si>
  <si>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</si>
  <si>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</si>
  <si>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</si>
  <si>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</si>
  <si>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</si>
  <si>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</si>
  <si>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</si>
  <si>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</si>
  <si>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</si>
  <si>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</si>
  <si>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</si>
  <si>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</si>
  <si>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</si>
  <si>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</si>
  <si>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</si>
  <si>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</si>
  <si>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</si>
  <si>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</si>
  <si>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</si>
  <si>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</si>
  <si>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</si>
  <si>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</si>
  <si>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</si>
  <si>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</si>
  <si>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</si>
  <si>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</si>
  <si>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</si>
  <si>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</si>
  <si>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</si>
  <si>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</si>
  <si>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</si>
  <si>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</si>
  <si>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</si>
  <si>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</si>
  <si>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</si>
  <si>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</si>
  <si>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</si>
  <si>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</si>
  <si>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</si>
  <si>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</si>
  <si>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</si>
  <si>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</si>
  <si>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</si>
  <si>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</si>
  <si>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</si>
  <si>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</si>
  <si>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</si>
  <si>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</si>
  <si>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</si>
  <si>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</si>
  <si>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</si>
  <si>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</si>
  <si>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</si>
  <si>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</si>
  <si>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</si>
  <si>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</si>
  <si>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</si>
  <si>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</si>
  <si>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</si>
  <si>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</si>
  <si>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</si>
  <si>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</si>
  <si>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</si>
  <si>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</si>
  <si>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</si>
  <si>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</si>
  <si>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</si>
  <si>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</si>
  <si>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</si>
  <si>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</si>
  <si>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</si>
  <si>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</si>
  <si>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</si>
  <si>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</si>
  <si>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</si>
  <si>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</si>
  <si>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</si>
  <si>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</si>
  <si>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</si>
  <si>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</si>
  <si>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</si>
  <si>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</si>
  <si>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</si>
  <si>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</si>
  <si>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</si>
  <si>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</si>
  <si>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</si>
  <si>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</si>
  <si>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</si>
  <si>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</si>
  <si>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</si>
  <si>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</si>
  <si>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</si>
  <si>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</si>
  <si>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</si>
  <si>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</si>
  <si>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</si>
  <si>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</si>
  <si>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</si>
  <si>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</si>
  <si>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</si>
  <si>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</si>
  <si>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</si>
  <si>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</si>
  <si>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</si>
  <si>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</si>
  <si>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</si>
  <si>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</si>
  <si>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</si>
  <si>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</si>
  <si>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</si>
  <si>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</si>
  <si>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</si>
  <si>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</si>
  <si>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</si>
  <si>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</si>
  <si>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</si>
  <si>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</si>
  <si>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</si>
  <si>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</si>
  <si>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</si>
  <si>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</si>
  <si>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</si>
  <si>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</si>
  <si>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</si>
  <si>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</si>
  <si>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</si>
  <si>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</si>
  <si>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</si>
  <si>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</si>
  <si>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</si>
  <si>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</si>
  <si>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</si>
  <si>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</si>
  <si>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</si>
  <si>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</si>
  <si>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</si>
  <si>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</si>
  <si>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</si>
  <si>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</si>
  <si>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</si>
  <si>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</si>
  <si>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</si>
  <si>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</si>
  <si>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</si>
  <si>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</si>
  <si>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</si>
  <si>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</si>
  <si>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</si>
  <si>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</si>
  <si>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</si>
  <si>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</si>
  <si>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</si>
  <si>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</si>
  <si>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</si>
  <si>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</si>
  <si>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</si>
  <si>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</si>
  <si>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</si>
  <si>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</si>
  <si>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</si>
  <si>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</si>
  <si>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</si>
  <si>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</si>
  <si>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</si>
  <si>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</si>
  <si>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</si>
  <si>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</si>
  <si>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</si>
  <si>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</si>
  <si>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</si>
  <si>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</si>
  <si>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</si>
  <si>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</si>
  <si>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</si>
  <si>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</si>
  <si>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</si>
  <si>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</si>
  <si>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</si>
  <si>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</si>
  <si>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</si>
  <si>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</si>
  <si>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</si>
  <si>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</si>
  <si>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</si>
  <si>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</si>
  <si>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</si>
  <si>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</si>
  <si>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</si>
  <si>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</si>
  <si>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</si>
  <si>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</si>
  <si>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</si>
  <si>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</si>
  <si>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</si>
  <si>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</si>
  <si>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</si>
  <si>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</si>
  <si>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</si>
  <si>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</si>
  <si>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</si>
  <si>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</si>
  <si>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</si>
  <si>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</si>
  <si>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</si>
  <si>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</si>
  <si>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</si>
  <si>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</si>
  <si>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</si>
  <si>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</si>
  <si>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</si>
  <si>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</si>
  <si>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</si>
  <si>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</si>
  <si>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</si>
  <si>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</si>
  <si>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</si>
  <si>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</si>
  <si>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</si>
  <si>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</si>
  <si>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</si>
  <si>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</si>
  <si>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</si>
  <si>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</si>
  <si>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</si>
  <si>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</si>
  <si>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</si>
  <si>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</si>
  <si>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</si>
  <si>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</si>
  <si>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</si>
  <si>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</si>
  <si>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</si>
  <si>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</si>
  <si>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</si>
  <si>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</si>
  <si>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</si>
  <si>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</si>
  <si>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</si>
  <si>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</si>
  <si>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</si>
  <si>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</si>
  <si>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</si>
  <si>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</si>
  <si>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</si>
  <si>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</si>
  <si>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</si>
  <si>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</si>
  <si>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</si>
  <si>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</si>
  <si>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</si>
  <si>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</si>
  <si>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</si>
  <si>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</si>
  <si>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</si>
  <si>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</si>
  <si>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</si>
  <si>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</si>
  <si>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</si>
  <si>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</si>
  <si>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</si>
  <si>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</si>
  <si>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</si>
  <si>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</si>
  <si>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</si>
  <si>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</si>
  <si>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</si>
  <si>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</si>
  <si>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</si>
  <si>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</si>
  <si>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</si>
  <si>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</si>
  <si>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NO COMPRENDIDO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</si>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</sst>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4">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41" totalsRowShown="0" headerRowDxfId="13">
  <autoFilter ref="A1:L841" xr:uid="{0F534DC0-C216-4594-8648-9D4F0B999606}"/>
  <tableColumns count="12">
    <tableColumn id="1" xr3:uid="{9233FEBF-F03D-484B-AEC3-C9958016F8CF}" name="ID_REF" dataDxfId="12">
      <calculatedColumnFormula>IF(BD_Versos[[#This Row],[Tema_Principal]]="","",ROW(BD_Versos[[#This Row],[Tema_Principal]])-1)</calculatedColumnFormula>
    </tableColumn>
    <tableColumn id="2" xr3:uid="{9BF3E82A-BAEF-460A-8441-159B13B2B711}" name="Tema_Principal" dataDxfId="11"/>
    <tableColumn id="3" xr3:uid="{E55C2286-2AF8-47BB-BE46-6959CD479D5F}" name="Subtema" dataDxfId="10"/>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5"/>
    <tableColumn id="9" xr3:uid="{CB0F52B0-64FC-4E8C-892D-E101CC1A6074}" name="ID_Anterior" dataDxfId="4"/>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41"/>
  <sheetViews>
    <sheetView tabSelected="1" topLeftCell="A282" zoomScale="80" zoomScaleNormal="80" workbookViewId="0">
      <selection activeCell="H289" sqref="H289"/>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style="4" customWidth="1"/>
    <col min="11" max="11" width="15.7109375" customWidth="1"/>
  </cols>
  <sheetData>
    <row r="1" spans="1:12" s="8" customFormat="1" ht="30" x14ac:dyDescent="0.25">
      <c r="A1" s="11" t="s">
        <v>0</v>
      </c>
      <c r="B1" s="11" t="s">
        <v>1</v>
      </c>
      <c r="C1" s="11" t="s">
        <v>2</v>
      </c>
      <c r="D1" s="11" t="s">
        <v>3</v>
      </c>
      <c r="E1" s="11" t="s">
        <v>4</v>
      </c>
      <c r="F1" s="12" t="s">
        <v>5</v>
      </c>
      <c r="G1" s="11" t="s">
        <v>6</v>
      </c>
      <c r="H1" s="11" t="s">
        <v>7</v>
      </c>
      <c r="I1" s="11" t="s">
        <v>8</v>
      </c>
      <c r="J1" s="11" t="s">
        <v>9</v>
      </c>
      <c r="K1" s="13" t="s">
        <v>10</v>
      </c>
      <c r="L1" s="13" t="s">
        <v>321</v>
      </c>
    </row>
    <row r="2" spans="1:12" ht="90" x14ac:dyDescent="0.25">
      <c r="A2" s="2">
        <f>IF(BD_Versos[[#This Row],[Tema_Principal]]="","",ROW(BD_Versos[[#This Row],[Tema_Principal]])-1)</f>
        <v>1</v>
      </c>
      <c r="B2" s="3" t="s">
        <v>312</v>
      </c>
      <c r="C2" s="2" t="s">
        <v>313</v>
      </c>
      <c r="D2" s="4" t="s">
        <v>13</v>
      </c>
      <c r="E2" s="4">
        <v>20</v>
      </c>
      <c r="F2" s="5">
        <v>24</v>
      </c>
      <c r="G2" s="6" t="s">
        <v>349</v>
      </c>
      <c r="H2" s="4">
        <v>2</v>
      </c>
      <c r="J2" s="4" t="s">
        <v>315</v>
      </c>
      <c r="K2" s="4"/>
      <c r="L2" s="4">
        <v>1</v>
      </c>
    </row>
    <row r="3" spans="1:12" ht="150" x14ac:dyDescent="0.25">
      <c r="A3" s="2">
        <f>IF(BD_Versos[[#This Row],[Tema_Principal]]="","",ROW(BD_Versos[[#This Row],[Tema_Principal]])-1)</f>
        <v>2</v>
      </c>
      <c r="B3" s="3" t="s">
        <v>312</v>
      </c>
      <c r="C3" s="2" t="s">
        <v>313</v>
      </c>
      <c r="D3" s="4" t="s">
        <v>15</v>
      </c>
      <c r="E3" s="4">
        <v>9</v>
      </c>
      <c r="F3" s="5" t="s">
        <v>16</v>
      </c>
      <c r="G3" s="6" t="s">
        <v>350</v>
      </c>
      <c r="H3" s="4">
        <v>3</v>
      </c>
      <c r="I3" s="4">
        <v>1</v>
      </c>
      <c r="J3" s="4" t="s">
        <v>320</v>
      </c>
      <c r="K3" s="4"/>
      <c r="L3" s="4">
        <v>1</v>
      </c>
    </row>
    <row r="4" spans="1:12" ht="75" x14ac:dyDescent="0.25">
      <c r="A4" s="2">
        <f>IF(BD_Versos[[#This Row],[Tema_Principal]]="","",ROW(BD_Versos[[#This Row],[Tema_Principal]])-1)</f>
        <v>3</v>
      </c>
      <c r="B4" s="3" t="s">
        <v>312</v>
      </c>
      <c r="C4" s="2" t="s">
        <v>313</v>
      </c>
      <c r="D4" s="4" t="s">
        <v>18</v>
      </c>
      <c r="E4" s="4">
        <v>2</v>
      </c>
      <c r="F4" s="5">
        <v>2</v>
      </c>
      <c r="G4" s="6" t="s">
        <v>351</v>
      </c>
      <c r="H4" s="4">
        <v>4</v>
      </c>
      <c r="I4" s="4">
        <v>2</v>
      </c>
      <c r="J4" s="4" t="s">
        <v>316</v>
      </c>
      <c r="K4" s="4"/>
      <c r="L4" s="4">
        <v>1</v>
      </c>
    </row>
    <row r="5" spans="1:12" ht="60" x14ac:dyDescent="0.25">
      <c r="A5" s="2">
        <f>IF(BD_Versos[[#This Row],[Tema_Principal]]="","",ROW(BD_Versos[[#This Row],[Tema_Principal]])-1)</f>
        <v>4</v>
      </c>
      <c r="B5" s="3" t="s">
        <v>312</v>
      </c>
      <c r="C5" s="2" t="s">
        <v>313</v>
      </c>
      <c r="D5" s="4" t="s">
        <v>20</v>
      </c>
      <c r="E5" s="4">
        <v>2</v>
      </c>
      <c r="F5" s="5">
        <v>16</v>
      </c>
      <c r="G5" s="6" t="s">
        <v>352</v>
      </c>
      <c r="H5" s="4">
        <v>5</v>
      </c>
      <c r="I5" s="4">
        <v>3</v>
      </c>
      <c r="J5" s="4" t="s">
        <v>317</v>
      </c>
      <c r="K5" s="4"/>
      <c r="L5" s="4">
        <v>1</v>
      </c>
    </row>
    <row r="6" spans="1:12" ht="45" x14ac:dyDescent="0.25">
      <c r="A6" s="2">
        <f>IF(BD_Versos[[#This Row],[Tema_Principal]]="","",ROW(BD_Versos[[#This Row],[Tema_Principal]])-1)</f>
        <v>5</v>
      </c>
      <c r="B6" s="3" t="s">
        <v>312</v>
      </c>
      <c r="C6" s="2" t="s">
        <v>313</v>
      </c>
      <c r="D6" s="4" t="s">
        <v>20</v>
      </c>
      <c r="E6" s="4">
        <v>3</v>
      </c>
      <c r="F6" s="5">
        <v>14</v>
      </c>
      <c r="G6" s="6" t="s">
        <v>353</v>
      </c>
      <c r="H6" s="4">
        <v>6</v>
      </c>
      <c r="I6" s="4">
        <v>4</v>
      </c>
      <c r="J6" s="4" t="s">
        <v>320</v>
      </c>
      <c r="K6" s="4"/>
      <c r="L6" s="4">
        <v>1</v>
      </c>
    </row>
    <row r="7" spans="1:12" ht="45" x14ac:dyDescent="0.25">
      <c r="A7" s="2">
        <f>IF(BD_Versos[[#This Row],[Tema_Principal]]="","",ROW(BD_Versos[[#This Row],[Tema_Principal]])-1)</f>
        <v>6</v>
      </c>
      <c r="B7" s="3" t="s">
        <v>312</v>
      </c>
      <c r="C7" s="2" t="s">
        <v>313</v>
      </c>
      <c r="D7" s="4" t="s">
        <v>23</v>
      </c>
      <c r="E7" s="4">
        <v>2</v>
      </c>
      <c r="F7" s="5">
        <v>5</v>
      </c>
      <c r="G7" s="6" t="s">
        <v>354</v>
      </c>
      <c r="H7" s="4">
        <v>7</v>
      </c>
      <c r="I7" s="4">
        <v>5</v>
      </c>
      <c r="J7" s="4" t="s">
        <v>314</v>
      </c>
      <c r="K7" s="4"/>
      <c r="L7" s="4">
        <v>1</v>
      </c>
    </row>
    <row r="8" spans="1:12" ht="90" x14ac:dyDescent="0.25">
      <c r="A8" s="2">
        <f>IF(BD_Versos[[#This Row],[Tema_Principal]]="","",ROW(BD_Versos[[#This Row],[Tema_Principal]])-1)</f>
        <v>7</v>
      </c>
      <c r="B8" s="3" t="s">
        <v>312</v>
      </c>
      <c r="C8" s="2" t="s">
        <v>313</v>
      </c>
      <c r="D8" s="4" t="s">
        <v>23</v>
      </c>
      <c r="E8" s="4">
        <v>4</v>
      </c>
      <c r="F8" s="5" t="s">
        <v>25</v>
      </c>
      <c r="G8" s="6" t="s">
        <v>355</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
        <v>356</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
        <v>357</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
        <v>358</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
        <v>359</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
        <v>360</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
        <v>361</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
        <v>362</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
        <v>363</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
        <v>364</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
        <v>365</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
        <v>366</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
        <v>367</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
        <v>368</v>
      </c>
      <c r="H21" s="4">
        <f t="shared" ref="H21:H29"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
        <v>369</v>
      </c>
      <c r="H22" s="4">
        <f t="shared" si="2"/>
        <v>22</v>
      </c>
      <c r="I22" s="4">
        <f t="shared" ref="I22:I30"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
        <v>370</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
        <v>371</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
        <v>372</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
        <v>373</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
        <v>374</v>
      </c>
      <c r="H27" s="4">
        <f t="shared" si="2"/>
        <v>27</v>
      </c>
      <c r="I27" s="4">
        <f t="shared" si="3"/>
        <v>25</v>
      </c>
      <c r="K27" s="4">
        <v>3479</v>
      </c>
      <c r="L27" s="4">
        <v>1</v>
      </c>
    </row>
    <row r="28" spans="1:12" ht="45" x14ac:dyDescent="0.25">
      <c r="A28" s="2">
        <f>IF(BD_Versos[[#This Row],[Tema_Principal]]="","",ROW(BD_Versos[[#This Row],[Tema_Principal]])-1)</f>
        <v>27</v>
      </c>
      <c r="B28" s="3" t="s">
        <v>345</v>
      </c>
      <c r="C28" s="3" t="s">
        <v>330</v>
      </c>
      <c r="D28" s="4" t="s">
        <v>42</v>
      </c>
      <c r="E28" s="4">
        <v>9</v>
      </c>
      <c r="F28" s="5" t="s">
        <v>37</v>
      </c>
      <c r="G28" s="6" t="s">
        <v>375</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
        <v>376</v>
      </c>
      <c r="H29" s="4">
        <f t="shared" si="2"/>
        <v>29</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
        <v>377</v>
      </c>
      <c r="I30" s="4">
        <f t="shared" si="3"/>
        <v>28</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
        <v>378</v>
      </c>
      <c r="H31" s="4">
        <f t="shared" ref="H31:H42" si="4">A32</f>
        <v>31</v>
      </c>
      <c r="K31" s="4">
        <v>3480</v>
      </c>
      <c r="L31" s="4">
        <v>0</v>
      </c>
    </row>
    <row r="32" spans="1:12" ht="45" x14ac:dyDescent="0.25">
      <c r="A32" s="2">
        <f>IF(BD_Versos[[#This Row],[Tema_Principal]]="","",ROW(BD_Versos[[#This Row],[Tema_Principal]])-1)</f>
        <v>31</v>
      </c>
      <c r="B32" s="3" t="s">
        <v>44</v>
      </c>
      <c r="C32" s="2" t="s">
        <v>109</v>
      </c>
      <c r="D32" s="4" t="s">
        <v>50</v>
      </c>
      <c r="E32" s="4">
        <v>12</v>
      </c>
      <c r="F32" s="5" t="s">
        <v>111</v>
      </c>
      <c r="G32" s="6" t="s">
        <v>379</v>
      </c>
      <c r="H32" s="4">
        <f t="shared" si="4"/>
        <v>32</v>
      </c>
      <c r="I32" s="4">
        <f t="shared" ref="I32:I43" si="5">A31</f>
        <v>30</v>
      </c>
      <c r="K32" s="4">
        <v>3480</v>
      </c>
      <c r="L32" s="4">
        <v>0</v>
      </c>
    </row>
    <row r="33" spans="1:12" ht="45" x14ac:dyDescent="0.25">
      <c r="A33" s="2">
        <f>IF(BD_Versos[[#This Row],[Tema_Principal]]="","",ROW(BD_Versos[[#This Row],[Tema_Principal]])-1)</f>
        <v>32</v>
      </c>
      <c r="B33" s="3" t="s">
        <v>44</v>
      </c>
      <c r="C33" s="2" t="s">
        <v>109</v>
      </c>
      <c r="D33" s="4" t="s">
        <v>30</v>
      </c>
      <c r="E33" s="4">
        <v>3</v>
      </c>
      <c r="F33" s="5" t="s">
        <v>112</v>
      </c>
      <c r="G33" s="6" t="s">
        <v>380</v>
      </c>
      <c r="H33" s="4">
        <f t="shared" si="4"/>
        <v>33</v>
      </c>
      <c r="I33" s="4">
        <f t="shared" si="5"/>
        <v>31</v>
      </c>
      <c r="K33" s="4">
        <v>3480</v>
      </c>
      <c r="L33" s="4">
        <v>0</v>
      </c>
    </row>
    <row r="34" spans="1:12" ht="45" x14ac:dyDescent="0.25">
      <c r="A34" s="2">
        <f>IF(BD_Versos[[#This Row],[Tema_Principal]]="","",ROW(BD_Versos[[#This Row],[Tema_Principal]])-1)</f>
        <v>33</v>
      </c>
      <c r="B34" s="3" t="s">
        <v>44</v>
      </c>
      <c r="C34" s="2" t="s">
        <v>109</v>
      </c>
      <c r="D34" s="4" t="s">
        <v>33</v>
      </c>
      <c r="E34" s="4">
        <v>4</v>
      </c>
      <c r="F34" s="5" t="s">
        <v>113</v>
      </c>
      <c r="G34" s="6" t="s">
        <v>381</v>
      </c>
      <c r="H34" s="4">
        <f t="shared" si="4"/>
        <v>34</v>
      </c>
      <c r="I34" s="4">
        <f t="shared" si="5"/>
        <v>32</v>
      </c>
      <c r="K34" s="4">
        <v>3480</v>
      </c>
      <c r="L34" s="4">
        <v>0</v>
      </c>
    </row>
    <row r="35" spans="1:12" ht="45" x14ac:dyDescent="0.25">
      <c r="A35" s="2">
        <f>IF(BD_Versos[[#This Row],[Tema_Principal]]="","",ROW(BD_Versos[[#This Row],[Tema_Principal]])-1)</f>
        <v>34</v>
      </c>
      <c r="B35" s="3" t="s">
        <v>44</v>
      </c>
      <c r="C35" s="2" t="s">
        <v>109</v>
      </c>
      <c r="D35" s="4" t="s">
        <v>33</v>
      </c>
      <c r="E35" s="4">
        <v>11</v>
      </c>
      <c r="F35" s="5" t="s">
        <v>114</v>
      </c>
      <c r="G35" s="6" t="s">
        <v>382</v>
      </c>
      <c r="H35" s="4">
        <f t="shared" si="4"/>
        <v>35</v>
      </c>
      <c r="I35" s="4">
        <f t="shared" si="5"/>
        <v>33</v>
      </c>
      <c r="K35" s="4">
        <v>3480</v>
      </c>
      <c r="L35" s="4">
        <v>0</v>
      </c>
    </row>
    <row r="36" spans="1:12" ht="60" x14ac:dyDescent="0.25">
      <c r="A36" s="2">
        <f>IF(BD_Versos[[#This Row],[Tema_Principal]]="","",ROW(BD_Versos[[#This Row],[Tema_Principal]])-1)</f>
        <v>35</v>
      </c>
      <c r="B36" s="3" t="s">
        <v>44</v>
      </c>
      <c r="C36" s="2" t="s">
        <v>109</v>
      </c>
      <c r="D36" s="4" t="s">
        <v>91</v>
      </c>
      <c r="E36" s="4">
        <v>12</v>
      </c>
      <c r="F36" s="5" t="s">
        <v>116</v>
      </c>
      <c r="G36" s="6" t="s">
        <v>383</v>
      </c>
      <c r="H36" s="4">
        <f t="shared" si="4"/>
        <v>36</v>
      </c>
      <c r="I36" s="4">
        <f t="shared" si="5"/>
        <v>34</v>
      </c>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
        <v>384</v>
      </c>
      <c r="H37" s="4">
        <f t="shared" si="4"/>
        <v>37</v>
      </c>
      <c r="I37" s="4">
        <f t="shared" si="5"/>
        <v>35</v>
      </c>
      <c r="K37" s="4">
        <v>3480</v>
      </c>
      <c r="L37" s="4">
        <v>0</v>
      </c>
    </row>
    <row r="38" spans="1:12" ht="45" x14ac:dyDescent="0.25">
      <c r="A38" s="2">
        <f>IF(BD_Versos[[#This Row],[Tema_Principal]]="","",ROW(BD_Versos[[#This Row],[Tema_Principal]])-1)</f>
        <v>37</v>
      </c>
      <c r="B38" s="3" t="s">
        <v>44</v>
      </c>
      <c r="C38" s="2" t="s">
        <v>109</v>
      </c>
      <c r="D38" s="4" t="s">
        <v>92</v>
      </c>
      <c r="E38" s="4">
        <v>16</v>
      </c>
      <c r="F38" s="5" t="s">
        <v>117</v>
      </c>
      <c r="G38" s="6" t="s">
        <v>385</v>
      </c>
      <c r="H38" s="4">
        <f t="shared" si="4"/>
        <v>38</v>
      </c>
      <c r="I38" s="4">
        <f t="shared" si="5"/>
        <v>36</v>
      </c>
      <c r="K38" s="4">
        <v>3480</v>
      </c>
      <c r="L38" s="4">
        <v>0</v>
      </c>
    </row>
    <row r="39" spans="1:12" ht="30" x14ac:dyDescent="0.25">
      <c r="A39" s="2">
        <f>IF(BD_Versos[[#This Row],[Tema_Principal]]="","",ROW(BD_Versos[[#This Row],[Tema_Principal]])-1)</f>
        <v>38</v>
      </c>
      <c r="B39" s="3" t="s">
        <v>44</v>
      </c>
      <c r="C39" s="2" t="s">
        <v>109</v>
      </c>
      <c r="D39" s="4" t="s">
        <v>15</v>
      </c>
      <c r="E39" s="4">
        <v>15</v>
      </c>
      <c r="F39" s="5" t="s">
        <v>51</v>
      </c>
      <c r="G39" s="6" t="s">
        <v>386</v>
      </c>
      <c r="H39" s="4">
        <f t="shared" si="4"/>
        <v>39</v>
      </c>
      <c r="I39" s="4">
        <f t="shared" si="5"/>
        <v>37</v>
      </c>
      <c r="K39" s="4">
        <v>3480</v>
      </c>
      <c r="L39" s="4">
        <v>0</v>
      </c>
    </row>
    <row r="40" spans="1:12" ht="60" x14ac:dyDescent="0.25">
      <c r="A40" s="2">
        <f>IF(BD_Versos[[#This Row],[Tema_Principal]]="","",ROW(BD_Versos[[#This Row],[Tema_Principal]])-1)</f>
        <v>39</v>
      </c>
      <c r="B40" s="3" t="s">
        <v>44</v>
      </c>
      <c r="C40" s="2" t="s">
        <v>109</v>
      </c>
      <c r="D40" s="4" t="s">
        <v>40</v>
      </c>
      <c r="E40" s="4">
        <v>2</v>
      </c>
      <c r="F40" s="5" t="s">
        <v>118</v>
      </c>
      <c r="G40" s="6" t="s">
        <v>387</v>
      </c>
      <c r="H40" s="4">
        <f t="shared" si="4"/>
        <v>40</v>
      </c>
      <c r="I40" s="4">
        <f t="shared" si="5"/>
        <v>38</v>
      </c>
      <c r="K40" s="4">
        <v>3480</v>
      </c>
      <c r="L40" s="4">
        <v>0</v>
      </c>
    </row>
    <row r="41" spans="1:12" ht="75" x14ac:dyDescent="0.25">
      <c r="A41" s="2">
        <f>IF(BD_Versos[[#This Row],[Tema_Principal]]="","",ROW(BD_Versos[[#This Row],[Tema_Principal]])-1)</f>
        <v>40</v>
      </c>
      <c r="B41" s="3" t="s">
        <v>44</v>
      </c>
      <c r="C41" s="2" t="s">
        <v>109</v>
      </c>
      <c r="D41" s="4" t="s">
        <v>27</v>
      </c>
      <c r="E41" s="4">
        <v>2</v>
      </c>
      <c r="F41" s="5" t="s">
        <v>47</v>
      </c>
      <c r="G41" s="6" t="s">
        <v>388</v>
      </c>
      <c r="H41" s="4">
        <f t="shared" si="4"/>
        <v>41</v>
      </c>
      <c r="I41" s="4">
        <f t="shared" si="5"/>
        <v>39</v>
      </c>
      <c r="K41" s="4">
        <v>3480</v>
      </c>
      <c r="L41" s="4">
        <v>0</v>
      </c>
    </row>
    <row r="42" spans="1:12" ht="75" x14ac:dyDescent="0.25">
      <c r="A42" s="2">
        <f>IF(BD_Versos[[#This Row],[Tema_Principal]]="","",ROW(BD_Versos[[#This Row],[Tema_Principal]])-1)</f>
        <v>41</v>
      </c>
      <c r="B42" s="3" t="s">
        <v>44</v>
      </c>
      <c r="C42" s="2" t="s">
        <v>109</v>
      </c>
      <c r="D42" s="4" t="s">
        <v>102</v>
      </c>
      <c r="E42" s="4">
        <v>3</v>
      </c>
      <c r="F42" s="5" t="s">
        <v>118</v>
      </c>
      <c r="G42" s="6" t="s">
        <v>389</v>
      </c>
      <c r="H42" s="4">
        <f t="shared" si="4"/>
        <v>42</v>
      </c>
      <c r="I42" s="4">
        <f t="shared" si="5"/>
        <v>40</v>
      </c>
      <c r="K42" s="4">
        <v>3480</v>
      </c>
      <c r="L42" s="4">
        <v>0</v>
      </c>
    </row>
    <row r="43" spans="1:12" ht="75" x14ac:dyDescent="0.25">
      <c r="A43" s="2">
        <f>IF(BD_Versos[[#This Row],[Tema_Principal]]="","",ROW(BD_Versos[[#This Row],[Tema_Principal]])-1)</f>
        <v>42</v>
      </c>
      <c r="B43" s="3" t="s">
        <v>44</v>
      </c>
      <c r="C43" s="2" t="s">
        <v>109</v>
      </c>
      <c r="D43" s="4" t="s">
        <v>42</v>
      </c>
      <c r="E43" s="4">
        <v>20</v>
      </c>
      <c r="F43" s="5" t="s">
        <v>119</v>
      </c>
      <c r="G43" s="6" t="s">
        <v>390</v>
      </c>
      <c r="I43" s="4">
        <f t="shared" si="5"/>
        <v>41</v>
      </c>
      <c r="K43" s="4">
        <v>3480</v>
      </c>
      <c r="L43" s="4">
        <v>0</v>
      </c>
    </row>
    <row r="44" spans="1:12" ht="60" x14ac:dyDescent="0.25">
      <c r="A44" s="2">
        <f>IF(BD_Versos[[#This Row],[Tema_Principal]]="","",ROW(BD_Versos[[#This Row],[Tema_Principal]])-1)</f>
        <v>43</v>
      </c>
      <c r="B44" s="3" t="s">
        <v>44</v>
      </c>
      <c r="C44" s="2" t="s">
        <v>120</v>
      </c>
      <c r="D44" s="4" t="s">
        <v>48</v>
      </c>
      <c r="E44" s="4">
        <v>1</v>
      </c>
      <c r="F44" s="5" t="s">
        <v>110</v>
      </c>
      <c r="G44" s="6" t="s">
        <v>391</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
        <v>392</v>
      </c>
      <c r="H45" s="4">
        <f t="shared" ref="H45:H65" si="6">A46</f>
        <v>45</v>
      </c>
      <c r="I45" s="4">
        <f>A44</f>
        <v>43</v>
      </c>
      <c r="K45" s="4">
        <v>3481</v>
      </c>
      <c r="L45" s="4">
        <v>0</v>
      </c>
    </row>
    <row r="46" spans="1:12" ht="45" x14ac:dyDescent="0.25">
      <c r="A46" s="2">
        <f>IF(BD_Versos[[#This Row],[Tema_Principal]]="","",ROW(BD_Versos[[#This Row],[Tema_Principal]])-1)</f>
        <v>45</v>
      </c>
      <c r="B46" s="3" t="s">
        <v>44</v>
      </c>
      <c r="C46" s="2" t="s">
        <v>120</v>
      </c>
      <c r="D46" s="4" t="s">
        <v>50</v>
      </c>
      <c r="E46" s="4">
        <v>12</v>
      </c>
      <c r="F46" s="5" t="s">
        <v>111</v>
      </c>
      <c r="G46" s="6" t="s">
        <v>379</v>
      </c>
      <c r="H46" s="4">
        <f t="shared" si="6"/>
        <v>46</v>
      </c>
      <c r="I46" s="4">
        <f t="shared" ref="I46:I66" si="7">A45</f>
        <v>44</v>
      </c>
      <c r="K46" s="4">
        <v>3481</v>
      </c>
      <c r="L46" s="4">
        <v>0</v>
      </c>
    </row>
    <row r="47" spans="1:12" ht="45" x14ac:dyDescent="0.25">
      <c r="A47" s="2">
        <f>IF(BD_Versos[[#This Row],[Tema_Principal]]="","",ROW(BD_Versos[[#This Row],[Tema_Principal]])-1)</f>
        <v>46</v>
      </c>
      <c r="B47" s="3" t="s">
        <v>44</v>
      </c>
      <c r="C47" s="2" t="s">
        <v>120</v>
      </c>
      <c r="D47" s="4" t="s">
        <v>30</v>
      </c>
      <c r="E47" s="4">
        <v>3</v>
      </c>
      <c r="F47" s="5" t="s">
        <v>112</v>
      </c>
      <c r="G47" s="6" t="s">
        <v>380</v>
      </c>
      <c r="H47" s="4">
        <f t="shared" si="6"/>
        <v>47</v>
      </c>
      <c r="I47" s="4">
        <f t="shared" si="7"/>
        <v>45</v>
      </c>
      <c r="K47" s="4">
        <v>3481</v>
      </c>
      <c r="L47" s="4">
        <v>0</v>
      </c>
    </row>
    <row r="48" spans="1:12" ht="60" x14ac:dyDescent="0.25">
      <c r="A48" s="2">
        <f>IF(BD_Versos[[#This Row],[Tema_Principal]]="","",ROW(BD_Versos[[#This Row],[Tema_Principal]])-1)</f>
        <v>47</v>
      </c>
      <c r="B48" s="3" t="s">
        <v>44</v>
      </c>
      <c r="C48" s="2" t="s">
        <v>120</v>
      </c>
      <c r="D48" s="4" t="s">
        <v>30</v>
      </c>
      <c r="E48" s="4">
        <v>5</v>
      </c>
      <c r="F48" s="5" t="s">
        <v>122</v>
      </c>
      <c r="G48" s="6" t="s">
        <v>393</v>
      </c>
      <c r="H48" s="4">
        <f t="shared" si="6"/>
        <v>48</v>
      </c>
      <c r="I48" s="4">
        <f t="shared" si="7"/>
        <v>46</v>
      </c>
      <c r="K48" s="4">
        <v>3481</v>
      </c>
      <c r="L48" s="4">
        <v>0</v>
      </c>
    </row>
    <row r="49" spans="1:12" ht="60" x14ac:dyDescent="0.25">
      <c r="A49" s="2">
        <f>IF(BD_Versos[[#This Row],[Tema_Principal]]="","",ROW(BD_Versos[[#This Row],[Tema_Principal]])-1)</f>
        <v>48</v>
      </c>
      <c r="B49" s="3" t="s">
        <v>44</v>
      </c>
      <c r="C49" s="2" t="s">
        <v>120</v>
      </c>
      <c r="D49" s="4" t="s">
        <v>30</v>
      </c>
      <c r="E49" s="4">
        <v>5</v>
      </c>
      <c r="F49" s="5" t="s">
        <v>113</v>
      </c>
      <c r="G49" s="6" t="s">
        <v>394</v>
      </c>
      <c r="H49" s="4">
        <f t="shared" si="6"/>
        <v>49</v>
      </c>
      <c r="I49" s="4">
        <f t="shared" si="7"/>
        <v>47</v>
      </c>
      <c r="K49" s="4">
        <v>3481</v>
      </c>
      <c r="L49" s="4">
        <v>0</v>
      </c>
    </row>
    <row r="50" spans="1:12" ht="60" x14ac:dyDescent="0.25">
      <c r="A50" s="2">
        <f>IF(BD_Versos[[#This Row],[Tema_Principal]]="","",ROW(BD_Versos[[#This Row],[Tema_Principal]])-1)</f>
        <v>49</v>
      </c>
      <c r="B50" s="3" t="s">
        <v>44</v>
      </c>
      <c r="C50" s="2" t="s">
        <v>120</v>
      </c>
      <c r="D50" s="4" t="s">
        <v>30</v>
      </c>
      <c r="E50" s="4">
        <v>9</v>
      </c>
      <c r="F50" s="5" t="s">
        <v>108</v>
      </c>
      <c r="G50" s="6" t="s">
        <v>395</v>
      </c>
      <c r="H50" s="4">
        <f t="shared" si="6"/>
        <v>50</v>
      </c>
      <c r="I50" s="4">
        <f t="shared" si="7"/>
        <v>48</v>
      </c>
      <c r="K50" s="4">
        <v>3481</v>
      </c>
      <c r="L50" s="4">
        <v>0</v>
      </c>
    </row>
    <row r="51" spans="1:12" ht="60" x14ac:dyDescent="0.25">
      <c r="A51" s="2">
        <f>IF(BD_Versos[[#This Row],[Tema_Principal]]="","",ROW(BD_Versos[[#This Row],[Tema_Principal]])-1)</f>
        <v>50</v>
      </c>
      <c r="B51" s="3" t="s">
        <v>44</v>
      </c>
      <c r="C51" s="2" t="s">
        <v>120</v>
      </c>
      <c r="D51" s="4" t="s">
        <v>30</v>
      </c>
      <c r="E51" s="4">
        <v>9</v>
      </c>
      <c r="F51" s="5" t="s">
        <v>51</v>
      </c>
      <c r="G51" s="6" t="s">
        <v>396</v>
      </c>
      <c r="H51" s="4">
        <f t="shared" si="6"/>
        <v>51</v>
      </c>
      <c r="I51" s="4">
        <f t="shared" si="7"/>
        <v>49</v>
      </c>
      <c r="K51" s="4">
        <v>3481</v>
      </c>
      <c r="L51" s="4">
        <v>0</v>
      </c>
    </row>
    <row r="52" spans="1:12" ht="45" x14ac:dyDescent="0.25">
      <c r="A52" s="2">
        <f>IF(BD_Versos[[#This Row],[Tema_Principal]]="","",ROW(BD_Versos[[#This Row],[Tema_Principal]])-1)</f>
        <v>51</v>
      </c>
      <c r="B52" s="3" t="s">
        <v>44</v>
      </c>
      <c r="C52" s="2" t="s">
        <v>120</v>
      </c>
      <c r="D52" s="4" t="s">
        <v>33</v>
      </c>
      <c r="E52" s="4">
        <v>4</v>
      </c>
      <c r="F52" s="5" t="s">
        <v>34</v>
      </c>
      <c r="G52" s="6" t="s">
        <v>359</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
        <v>397</v>
      </c>
      <c r="H53" s="4">
        <f t="shared" si="6"/>
        <v>53</v>
      </c>
      <c r="I53" s="4">
        <f t="shared" si="7"/>
        <v>51</v>
      </c>
      <c r="K53" s="4">
        <v>3481</v>
      </c>
      <c r="L53" s="4">
        <v>0</v>
      </c>
    </row>
    <row r="54" spans="1:12" ht="30" x14ac:dyDescent="0.25">
      <c r="A54" s="2">
        <f>IF(BD_Versos[[#This Row],[Tema_Principal]]="","",ROW(BD_Versos[[#This Row],[Tema_Principal]])-1)</f>
        <v>53</v>
      </c>
      <c r="B54" s="3" t="s">
        <v>44</v>
      </c>
      <c r="C54" s="2" t="s">
        <v>120</v>
      </c>
      <c r="D54" s="4" t="s">
        <v>33</v>
      </c>
      <c r="E54" s="4">
        <v>11</v>
      </c>
      <c r="F54" s="5" t="s">
        <v>123</v>
      </c>
      <c r="G54" s="6" t="s">
        <v>398</v>
      </c>
      <c r="H54" s="4">
        <f t="shared" si="6"/>
        <v>54</v>
      </c>
      <c r="I54" s="4">
        <f t="shared" si="7"/>
        <v>52</v>
      </c>
      <c r="K54" s="4">
        <v>3481</v>
      </c>
      <c r="L54" s="4">
        <v>0</v>
      </c>
    </row>
    <row r="55" spans="1:12" ht="60" x14ac:dyDescent="0.25">
      <c r="A55" s="2">
        <f>IF(BD_Versos[[#This Row],[Tema_Principal]]="","",ROW(BD_Versos[[#This Row],[Tema_Principal]])-1)</f>
        <v>54</v>
      </c>
      <c r="B55" s="3" t="s">
        <v>44</v>
      </c>
      <c r="C55" s="2" t="s">
        <v>120</v>
      </c>
      <c r="D55" s="4" t="s">
        <v>33</v>
      </c>
      <c r="E55" s="4">
        <v>13</v>
      </c>
      <c r="F55" s="5" t="s">
        <v>124</v>
      </c>
      <c r="G55" s="6" t="s">
        <v>399</v>
      </c>
      <c r="H55" s="4">
        <f t="shared" si="6"/>
        <v>55</v>
      </c>
      <c r="I55" s="4">
        <f t="shared" si="7"/>
        <v>53</v>
      </c>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
        <v>400</v>
      </c>
      <c r="H56" s="4">
        <f t="shared" si="6"/>
        <v>56</v>
      </c>
      <c r="I56" s="4">
        <f t="shared" si="7"/>
        <v>54</v>
      </c>
      <c r="K56" s="4">
        <v>3481</v>
      </c>
      <c r="L56" s="4">
        <v>0</v>
      </c>
    </row>
    <row r="57" spans="1:12" ht="75" x14ac:dyDescent="0.25">
      <c r="A57" s="2">
        <f>IF(BD_Versos[[#This Row],[Tema_Principal]]="","",ROW(BD_Versos[[#This Row],[Tema_Principal]])-1)</f>
        <v>56</v>
      </c>
      <c r="B57" s="3" t="s">
        <v>44</v>
      </c>
      <c r="C57" s="2" t="s">
        <v>120</v>
      </c>
      <c r="D57" s="4" t="s">
        <v>13</v>
      </c>
      <c r="E57" s="4">
        <v>26</v>
      </c>
      <c r="F57" s="5" t="s">
        <v>108</v>
      </c>
      <c r="G57" s="6" t="s">
        <v>401</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
        <v>402</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
        <v>403</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
        <v>404</v>
      </c>
      <c r="H60" s="4">
        <f t="shared" si="6"/>
        <v>60</v>
      </c>
      <c r="I60" s="4">
        <f t="shared" si="7"/>
        <v>58</v>
      </c>
      <c r="K60" s="4">
        <v>3481</v>
      </c>
      <c r="L60" s="4">
        <v>0</v>
      </c>
    </row>
    <row r="61" spans="1:12" ht="45" x14ac:dyDescent="0.25">
      <c r="A61" s="2">
        <f>IF(BD_Versos[[#This Row],[Tema_Principal]]="","",ROW(BD_Versos[[#This Row],[Tema_Principal]])-1)</f>
        <v>60</v>
      </c>
      <c r="B61" s="3" t="s">
        <v>44</v>
      </c>
      <c r="C61" s="2" t="s">
        <v>120</v>
      </c>
      <c r="D61" s="4" t="s">
        <v>40</v>
      </c>
      <c r="E61" s="4">
        <v>2</v>
      </c>
      <c r="F61" s="5" t="s">
        <v>41</v>
      </c>
      <c r="G61" s="6" t="s">
        <v>364</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
        <v>405</v>
      </c>
      <c r="H62" s="4">
        <f t="shared" si="6"/>
        <v>62</v>
      </c>
      <c r="I62" s="4">
        <f t="shared" si="7"/>
        <v>60</v>
      </c>
      <c r="K62" s="4">
        <v>3481</v>
      </c>
      <c r="L62" s="4">
        <v>0</v>
      </c>
    </row>
    <row r="63" spans="1:12" ht="75" x14ac:dyDescent="0.25">
      <c r="A63" s="2">
        <f>IF(BD_Versos[[#This Row],[Tema_Principal]]="","",ROW(BD_Versos[[#This Row],[Tema_Principal]])-1)</f>
        <v>62</v>
      </c>
      <c r="B63" s="3" t="s">
        <v>44</v>
      </c>
      <c r="C63" s="2" t="s">
        <v>120</v>
      </c>
      <c r="D63" s="4" t="s">
        <v>27</v>
      </c>
      <c r="E63" s="4">
        <v>2</v>
      </c>
      <c r="F63" s="5" t="s">
        <v>47</v>
      </c>
      <c r="G63" s="6" t="s">
        <v>388</v>
      </c>
      <c r="H63" s="4">
        <f t="shared" si="6"/>
        <v>63</v>
      </c>
      <c r="I63" s="4">
        <f t="shared" si="7"/>
        <v>61</v>
      </c>
      <c r="K63" s="4">
        <v>3481</v>
      </c>
      <c r="L63" s="4">
        <v>0</v>
      </c>
    </row>
    <row r="64" spans="1:12" ht="45" x14ac:dyDescent="0.25">
      <c r="A64" s="2">
        <f>IF(BD_Versos[[#This Row],[Tema_Principal]]="","",ROW(BD_Versos[[#This Row],[Tema_Principal]])-1)</f>
        <v>63</v>
      </c>
      <c r="B64" s="3" t="s">
        <v>44</v>
      </c>
      <c r="C64" s="2" t="s">
        <v>120</v>
      </c>
      <c r="D64" s="4" t="s">
        <v>42</v>
      </c>
      <c r="E64" s="4">
        <v>11</v>
      </c>
      <c r="F64" s="5" t="s">
        <v>43</v>
      </c>
      <c r="G64" s="6" t="s">
        <v>406</v>
      </c>
      <c r="H64" s="4">
        <f t="shared" si="6"/>
        <v>64</v>
      </c>
      <c r="I64" s="4">
        <f t="shared" si="7"/>
        <v>62</v>
      </c>
      <c r="K64" s="4">
        <v>3481</v>
      </c>
      <c r="L64" s="4">
        <v>0</v>
      </c>
    </row>
    <row r="65" spans="1:12" ht="60" x14ac:dyDescent="0.25">
      <c r="A65" s="2">
        <f>IF(BD_Versos[[#This Row],[Tema_Principal]]="","",ROW(BD_Versos[[#This Row],[Tema_Principal]])-1)</f>
        <v>64</v>
      </c>
      <c r="B65" s="3" t="s">
        <v>44</v>
      </c>
      <c r="C65" s="2" t="s">
        <v>120</v>
      </c>
      <c r="D65" s="4" t="s">
        <v>42</v>
      </c>
      <c r="E65" s="4">
        <v>13</v>
      </c>
      <c r="F65" s="5" t="s">
        <v>49</v>
      </c>
      <c r="G65" s="6" t="s">
        <v>407</v>
      </c>
      <c r="H65" s="4">
        <f t="shared" si="6"/>
        <v>65</v>
      </c>
      <c r="I65" s="4">
        <f t="shared" si="7"/>
        <v>63</v>
      </c>
      <c r="K65" s="4">
        <v>3481</v>
      </c>
      <c r="L65" s="4">
        <v>0</v>
      </c>
    </row>
    <row r="66" spans="1:12" ht="45" x14ac:dyDescent="0.25">
      <c r="A66" s="2">
        <f>IF(BD_Versos[[#This Row],[Tema_Principal]]="","",ROW(BD_Versos[[#This Row],[Tema_Principal]])-1)</f>
        <v>65</v>
      </c>
      <c r="B66" s="3" t="s">
        <v>44</v>
      </c>
      <c r="C66" s="2" t="s">
        <v>120</v>
      </c>
      <c r="D66" s="4" t="s">
        <v>42</v>
      </c>
      <c r="E66" s="4">
        <v>13</v>
      </c>
      <c r="F66" s="5" t="s">
        <v>43</v>
      </c>
      <c r="G66" s="6" t="s">
        <v>408</v>
      </c>
      <c r="I66" s="4">
        <f t="shared" si="7"/>
        <v>64</v>
      </c>
      <c r="K66" s="4">
        <v>3481</v>
      </c>
      <c r="L66" s="4">
        <v>0</v>
      </c>
    </row>
    <row r="67" spans="1:12" ht="75" x14ac:dyDescent="0.25">
      <c r="A67" s="2">
        <f>IF(BD_Versos[[#This Row],[Tema_Principal]]="","",ROW(BD_Versos[[#This Row],[Tema_Principal]])-1)</f>
        <v>66</v>
      </c>
      <c r="B67" s="3" t="s">
        <v>44</v>
      </c>
      <c r="C67" s="2" t="s">
        <v>133</v>
      </c>
      <c r="D67" s="4" t="s">
        <v>46</v>
      </c>
      <c r="E67" s="4">
        <v>3</v>
      </c>
      <c r="F67" s="5" t="s">
        <v>28</v>
      </c>
      <c r="G67" s="6" t="s">
        <v>409</v>
      </c>
      <c r="H67" s="4">
        <f>A68</f>
        <v>67</v>
      </c>
      <c r="K67" s="4">
        <v>3482</v>
      </c>
      <c r="L67" s="4">
        <v>0</v>
      </c>
    </row>
    <row r="68" spans="1:12" ht="60" x14ac:dyDescent="0.25">
      <c r="A68" s="2">
        <f>IF(BD_Versos[[#This Row],[Tema_Principal]]="","",ROW(BD_Versos[[#This Row],[Tema_Principal]])-1)</f>
        <v>67</v>
      </c>
      <c r="B68" s="3" t="s">
        <v>44</v>
      </c>
      <c r="C68" s="2" t="s">
        <v>133</v>
      </c>
      <c r="D68" s="4" t="s">
        <v>46</v>
      </c>
      <c r="E68" s="4">
        <v>3</v>
      </c>
      <c r="F68" s="5" t="s">
        <v>144</v>
      </c>
      <c r="G68" s="6" t="s">
        <v>410</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
        <v>411</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
        <v>412</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
        <v>413</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
        <v>414</v>
      </c>
      <c r="H72" s="4">
        <f t="shared" si="8"/>
        <v>72</v>
      </c>
      <c r="I72" s="4">
        <f t="shared" si="9"/>
        <v>70</v>
      </c>
      <c r="K72" s="4">
        <v>3482</v>
      </c>
      <c r="L72" s="4">
        <v>0</v>
      </c>
    </row>
    <row r="73" spans="1:12" ht="60" x14ac:dyDescent="0.25">
      <c r="A73" s="2">
        <f>IF(BD_Versos[[#This Row],[Tema_Principal]]="","",ROW(BD_Versos[[#This Row],[Tema_Principal]])-1)</f>
        <v>72</v>
      </c>
      <c r="B73" s="3" t="s">
        <v>44</v>
      </c>
      <c r="C73" s="2" t="s">
        <v>133</v>
      </c>
      <c r="D73" s="4" t="s">
        <v>135</v>
      </c>
      <c r="E73" s="4">
        <v>3</v>
      </c>
      <c r="F73" s="5" t="s">
        <v>28</v>
      </c>
      <c r="G73" s="6" t="s">
        <v>415</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
        <v>416</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
        <v>417</v>
      </c>
      <c r="H75" s="4">
        <f t="shared" si="8"/>
        <v>75</v>
      </c>
      <c r="I75" s="4">
        <f t="shared" si="9"/>
        <v>73</v>
      </c>
      <c r="K75" s="4">
        <v>3482</v>
      </c>
      <c r="L75" s="4">
        <v>0</v>
      </c>
    </row>
    <row r="76" spans="1:12" ht="75" x14ac:dyDescent="0.25">
      <c r="A76" s="2">
        <f>IF(BD_Versos[[#This Row],[Tema_Principal]]="","",ROW(BD_Versos[[#This Row],[Tema_Principal]])-1)</f>
        <v>75</v>
      </c>
      <c r="B76" s="3" t="s">
        <v>44</v>
      </c>
      <c r="C76" s="2" t="s">
        <v>133</v>
      </c>
      <c r="D76" s="4" t="s">
        <v>50</v>
      </c>
      <c r="E76" s="4">
        <v>8</v>
      </c>
      <c r="F76" s="5" t="s">
        <v>136</v>
      </c>
      <c r="G76" s="6" t="s">
        <v>418</v>
      </c>
      <c r="H76" s="4">
        <f t="shared" si="8"/>
        <v>76</v>
      </c>
      <c r="I76" s="4">
        <f t="shared" si="9"/>
        <v>74</v>
      </c>
      <c r="K76" s="4">
        <v>3482</v>
      </c>
      <c r="L76" s="4">
        <v>0</v>
      </c>
    </row>
    <row r="77" spans="1:12" ht="30" x14ac:dyDescent="0.25">
      <c r="A77" s="2">
        <f>IF(BD_Versos[[#This Row],[Tema_Principal]]="","",ROW(BD_Versos[[#This Row],[Tema_Principal]])-1)</f>
        <v>76</v>
      </c>
      <c r="B77" s="3" t="s">
        <v>44</v>
      </c>
      <c r="C77" s="2" t="s">
        <v>133</v>
      </c>
      <c r="D77" s="4" t="s">
        <v>50</v>
      </c>
      <c r="E77" s="4">
        <v>13</v>
      </c>
      <c r="F77" s="5" t="s">
        <v>122</v>
      </c>
      <c r="G77" s="6" t="s">
        <v>419</v>
      </c>
      <c r="H77" s="4">
        <f t="shared" si="8"/>
        <v>77</v>
      </c>
      <c r="I77" s="4">
        <f t="shared" si="9"/>
        <v>75</v>
      </c>
      <c r="K77" s="4">
        <v>3482</v>
      </c>
      <c r="L77" s="4">
        <v>0</v>
      </c>
    </row>
    <row r="78" spans="1:12" ht="60" x14ac:dyDescent="0.25">
      <c r="A78" s="2">
        <f>IF(BD_Versos[[#This Row],[Tema_Principal]]="","",ROW(BD_Versos[[#This Row],[Tema_Principal]])-1)</f>
        <v>77</v>
      </c>
      <c r="B78" s="3" t="s">
        <v>44</v>
      </c>
      <c r="C78" s="2" t="s">
        <v>133</v>
      </c>
      <c r="D78" s="4" t="s">
        <v>50</v>
      </c>
      <c r="E78" s="4">
        <v>13</v>
      </c>
      <c r="F78" s="5" t="s">
        <v>137</v>
      </c>
      <c r="G78" s="6" t="s">
        <v>420</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
        <v>421</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
        <v>422</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
        <v>423</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
        <v>424</v>
      </c>
      <c r="H82" s="4">
        <f t="shared" si="8"/>
        <v>82</v>
      </c>
      <c r="I82" s="4">
        <f t="shared" si="9"/>
        <v>80</v>
      </c>
      <c r="K82" s="4">
        <v>3482</v>
      </c>
      <c r="L82" s="4">
        <v>0</v>
      </c>
    </row>
    <row r="83" spans="1:12" ht="30" x14ac:dyDescent="0.25">
      <c r="A83" s="2">
        <f>IF(BD_Versos[[#This Row],[Tema_Principal]]="","",ROW(BD_Versos[[#This Row],[Tema_Principal]])-1)</f>
        <v>82</v>
      </c>
      <c r="B83" s="3" t="s">
        <v>44</v>
      </c>
      <c r="C83" s="2" t="s">
        <v>133</v>
      </c>
      <c r="D83" s="4" t="s">
        <v>30</v>
      </c>
      <c r="E83" s="4">
        <v>1</v>
      </c>
      <c r="F83" s="5" t="s">
        <v>51</v>
      </c>
      <c r="G83" s="6" t="s">
        <v>425</v>
      </c>
      <c r="H83" s="4">
        <f t="shared" si="8"/>
        <v>83</v>
      </c>
      <c r="I83" s="4">
        <f t="shared" si="9"/>
        <v>81</v>
      </c>
      <c r="K83" s="4">
        <v>3482</v>
      </c>
      <c r="L83" s="4">
        <v>0</v>
      </c>
    </row>
    <row r="84" spans="1:12" ht="60" x14ac:dyDescent="0.25">
      <c r="A84" s="2">
        <f>IF(BD_Versos[[#This Row],[Tema_Principal]]="","",ROW(BD_Versos[[#This Row],[Tema_Principal]])-1)</f>
        <v>83</v>
      </c>
      <c r="B84" s="3" t="s">
        <v>44</v>
      </c>
      <c r="C84" s="2" t="s">
        <v>133</v>
      </c>
      <c r="D84" s="4" t="s">
        <v>30</v>
      </c>
      <c r="E84" s="4">
        <v>4</v>
      </c>
      <c r="F84" s="5" t="s">
        <v>31</v>
      </c>
      <c r="G84" s="6" t="s">
        <v>357</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
        <v>426</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
        <v>427</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
        <v>428</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
        <v>429</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
        <v>430</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
        <v>431</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
        <v>432</v>
      </c>
      <c r="H91" s="4">
        <f t="shared" si="8"/>
        <v>91</v>
      </c>
      <c r="I91" s="4">
        <f t="shared" si="9"/>
        <v>89</v>
      </c>
      <c r="K91" s="4">
        <v>3482</v>
      </c>
      <c r="L91" s="4">
        <v>0</v>
      </c>
    </row>
    <row r="92" spans="1:12" ht="90" x14ac:dyDescent="0.25">
      <c r="A92" s="2">
        <f>IF(BD_Versos[[#This Row],[Tema_Principal]]="","",ROW(BD_Versos[[#This Row],[Tema_Principal]])-1)</f>
        <v>91</v>
      </c>
      <c r="B92" s="3" t="s">
        <v>44</v>
      </c>
      <c r="C92" s="2" t="s">
        <v>133</v>
      </c>
      <c r="D92" s="4" t="s">
        <v>33</v>
      </c>
      <c r="E92" s="4">
        <v>8</v>
      </c>
      <c r="F92" s="5" t="s">
        <v>111</v>
      </c>
      <c r="G92" s="6" t="s">
        <v>397</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
        <v>433</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
        <v>434</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
        <v>399</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
        <v>435</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
        <v>436</v>
      </c>
      <c r="H97" s="4">
        <f t="shared" si="8"/>
        <v>97</v>
      </c>
      <c r="I97" s="4">
        <f t="shared" si="9"/>
        <v>95</v>
      </c>
      <c r="K97" s="4">
        <v>3482</v>
      </c>
      <c r="L97" s="4">
        <v>0</v>
      </c>
    </row>
    <row r="98" spans="1:12" ht="90" x14ac:dyDescent="0.25">
      <c r="A98" s="2">
        <f>IF(BD_Versos[[#This Row],[Tema_Principal]]="","",ROW(BD_Versos[[#This Row],[Tema_Principal]])-1)</f>
        <v>97</v>
      </c>
      <c r="B98" s="3" t="s">
        <v>44</v>
      </c>
      <c r="C98" s="2" t="s">
        <v>133</v>
      </c>
      <c r="D98" s="4" t="s">
        <v>91</v>
      </c>
      <c r="E98" s="4">
        <v>8</v>
      </c>
      <c r="F98" s="5" t="s">
        <v>143</v>
      </c>
      <c r="G98" s="6" t="s">
        <v>437</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
        <v>438</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
        <v>439</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
        <v>440</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
        <v>361</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
        <v>362</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
        <v>441</v>
      </c>
      <c r="H104" s="4">
        <f t="shared" si="8"/>
        <v>104</v>
      </c>
      <c r="I104" s="4">
        <f t="shared" si="9"/>
        <v>102</v>
      </c>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
        <v>442</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
        <v>443</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
        <v>405</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
        <v>444</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
        <v>445</v>
      </c>
      <c r="H109" s="4">
        <f t="shared" si="8"/>
        <v>109</v>
      </c>
      <c r="I109" s="4">
        <f t="shared" si="9"/>
        <v>107</v>
      </c>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
        <v>446</v>
      </c>
      <c r="H110" s="4">
        <f t="shared" si="8"/>
        <v>110</v>
      </c>
      <c r="I110" s="4">
        <f t="shared" si="9"/>
        <v>108</v>
      </c>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
        <v>447</v>
      </c>
      <c r="I111" s="4">
        <f t="shared" si="9"/>
        <v>109</v>
      </c>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
        <v>367</v>
      </c>
      <c r="H112" s="4">
        <f t="shared" si="8"/>
        <v>112</v>
      </c>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
        <v>448</v>
      </c>
      <c r="H113" s="4">
        <f t="shared" si="8"/>
        <v>113</v>
      </c>
      <c r="I113" s="4">
        <f>A112</f>
        <v>111</v>
      </c>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
        <v>449</v>
      </c>
      <c r="H114" s="4">
        <f t="shared" si="8"/>
        <v>114</v>
      </c>
      <c r="I114" s="4">
        <f t="shared" si="9"/>
        <v>112</v>
      </c>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
        <v>379</v>
      </c>
      <c r="H115" s="4">
        <f t="shared" si="8"/>
        <v>115</v>
      </c>
      <c r="I115" s="4">
        <f t="shared" si="9"/>
        <v>113</v>
      </c>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
        <v>450</v>
      </c>
      <c r="H116" s="4">
        <f t="shared" si="8"/>
        <v>116</v>
      </c>
      <c r="I116" s="4">
        <f t="shared" si="9"/>
        <v>114</v>
      </c>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
        <v>451</v>
      </c>
      <c r="H117" s="4">
        <f t="shared" si="8"/>
        <v>117</v>
      </c>
      <c r="I117" s="4">
        <f t="shared" si="9"/>
        <v>115</v>
      </c>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
        <v>452</v>
      </c>
      <c r="H118" s="4">
        <f t="shared" si="8"/>
        <v>118</v>
      </c>
      <c r="I118" s="4">
        <f t="shared" si="9"/>
        <v>116</v>
      </c>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
        <v>453</v>
      </c>
      <c r="H119" s="4">
        <f t="shared" si="8"/>
        <v>119</v>
      </c>
      <c r="I119" s="4">
        <f t="shared" si="9"/>
        <v>117</v>
      </c>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
        <v>365</v>
      </c>
      <c r="H120" s="4">
        <f t="shared" si="8"/>
        <v>120</v>
      </c>
      <c r="I120" s="4">
        <f t="shared" si="9"/>
        <v>118</v>
      </c>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
        <v>454</v>
      </c>
      <c r="I121" s="4">
        <f t="shared" si="9"/>
        <v>119</v>
      </c>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
        <v>455</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
        <v>456</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
        <v>457</v>
      </c>
      <c r="H124" s="4">
        <f t="shared" ref="H124:H129" si="12">A125</f>
        <v>124</v>
      </c>
      <c r="I124" s="4">
        <f t="shared" ref="I124:I130" si="13">A123</f>
        <v>122</v>
      </c>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
        <v>437</v>
      </c>
      <c r="H125" s="4">
        <f t="shared" si="12"/>
        <v>125</v>
      </c>
      <c r="I125" s="4">
        <f t="shared" si="13"/>
        <v>123</v>
      </c>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
        <v>361</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
        <v>372</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
        <v>458</v>
      </c>
      <c r="H128" s="4">
        <f t="shared" si="12"/>
        <v>128</v>
      </c>
      <c r="I128" s="4">
        <f t="shared" si="13"/>
        <v>126</v>
      </c>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
        <v>459</v>
      </c>
      <c r="H129" s="4">
        <f t="shared" si="12"/>
        <v>129</v>
      </c>
      <c r="I129" s="4">
        <f t="shared" si="13"/>
        <v>127</v>
      </c>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
        <v>460</v>
      </c>
      <c r="I130" s="4">
        <f t="shared" si="13"/>
        <v>128</v>
      </c>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
        <v>461</v>
      </c>
      <c r="H131" s="4">
        <f t="shared" ref="H131:H137" si="14">A132</f>
        <v>131</v>
      </c>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
        <v>462</v>
      </c>
      <c r="H132" s="4">
        <f t="shared" si="14"/>
        <v>132</v>
      </c>
      <c r="I132" s="4">
        <f t="shared" ref="I132:I138" si="15">A131</f>
        <v>130</v>
      </c>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
        <v>463</v>
      </c>
      <c r="H133" s="4">
        <f t="shared" si="14"/>
        <v>133</v>
      </c>
      <c r="I133" s="4">
        <f t="shared" si="15"/>
        <v>131</v>
      </c>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
        <v>464</v>
      </c>
      <c r="H134" s="4">
        <f t="shared" si="14"/>
        <v>134</v>
      </c>
      <c r="I134" s="4">
        <f t="shared" si="15"/>
        <v>132</v>
      </c>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
        <v>363</v>
      </c>
      <c r="H135" s="4">
        <f t="shared" si="14"/>
        <v>135</v>
      </c>
      <c r="I135" s="4">
        <f t="shared" si="15"/>
        <v>133</v>
      </c>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
        <v>465</v>
      </c>
      <c r="H136" s="4">
        <f t="shared" si="14"/>
        <v>136</v>
      </c>
      <c r="I136" s="4">
        <f t="shared" si="15"/>
        <v>134</v>
      </c>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
        <v>444</v>
      </c>
      <c r="H137" s="4">
        <f t="shared" si="14"/>
        <v>137</v>
      </c>
      <c r="I137" s="4">
        <f t="shared" si="15"/>
        <v>135</v>
      </c>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
        <v>466</v>
      </c>
      <c r="I138" s="4">
        <f t="shared" si="15"/>
        <v>136</v>
      </c>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
        <v>467</v>
      </c>
      <c r="H139" s="4">
        <f>A140</f>
        <v>139</v>
      </c>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
        <v>384</v>
      </c>
      <c r="H140" s="4">
        <f>A141</f>
        <v>140</v>
      </c>
      <c r="I140" s="4">
        <f>A139</f>
        <v>138</v>
      </c>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
        <v>468</v>
      </c>
      <c r="I141" s="4">
        <f>A140</f>
        <v>139</v>
      </c>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
        <v>469</v>
      </c>
      <c r="H142" s="4">
        <v>144</v>
      </c>
      <c r="J142" s="4"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
        <v>470</v>
      </c>
      <c r="H143" s="4">
        <f>H142+1</f>
        <v>145</v>
      </c>
      <c r="I143" s="4">
        <v>143</v>
      </c>
      <c r="J143" s="4"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
        <v>421</v>
      </c>
      <c r="H144" s="4">
        <f t="shared" ref="H144:H148" si="16">H143+1</f>
        <v>146</v>
      </c>
      <c r="I144" s="4">
        <f>I143+1</f>
        <v>144</v>
      </c>
      <c r="J144" s="4"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
        <v>471</v>
      </c>
      <c r="H145" s="4">
        <f t="shared" si="16"/>
        <v>147</v>
      </c>
      <c r="I145" s="4">
        <f t="shared" ref="I145:I148" si="17">I144+1</f>
        <v>145</v>
      </c>
      <c r="J145" s="4"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
        <v>472</v>
      </c>
      <c r="H146" s="4">
        <f t="shared" si="16"/>
        <v>148</v>
      </c>
      <c r="I146" s="4">
        <f t="shared" si="17"/>
        <v>146</v>
      </c>
      <c r="J146" s="4"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
        <v>473</v>
      </c>
      <c r="H147" s="4">
        <f t="shared" si="16"/>
        <v>149</v>
      </c>
      <c r="I147" s="4">
        <f t="shared" si="17"/>
        <v>147</v>
      </c>
      <c r="J147" s="4"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
        <v>474</v>
      </c>
      <c r="H148" s="4">
        <f t="shared" si="16"/>
        <v>150</v>
      </c>
      <c r="I148" s="4">
        <f t="shared" si="17"/>
        <v>148</v>
      </c>
      <c r="J148" s="4"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
        <v>475</v>
      </c>
      <c r="H149" s="4">
        <f>A150</f>
        <v>149</v>
      </c>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
        <v>476</v>
      </c>
      <c r="H150" s="4">
        <f t="shared" ref="H150:H214" si="18">A151</f>
        <v>150</v>
      </c>
      <c r="I150" s="4">
        <f>A149</f>
        <v>148</v>
      </c>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
        <v>477</v>
      </c>
      <c r="H151" s="4">
        <f t="shared" si="18"/>
        <v>151</v>
      </c>
      <c r="I151" s="4">
        <f t="shared" ref="I151:I215" si="19">A150</f>
        <v>149</v>
      </c>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
        <v>478</v>
      </c>
      <c r="H152" s="4">
        <f t="shared" si="18"/>
        <v>152</v>
      </c>
      <c r="I152" s="4">
        <f t="shared" si="19"/>
        <v>150</v>
      </c>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
        <v>479</v>
      </c>
      <c r="H153" s="4">
        <f t="shared" si="18"/>
        <v>153</v>
      </c>
      <c r="I153" s="4">
        <f t="shared" si="19"/>
        <v>151</v>
      </c>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
        <v>480</v>
      </c>
      <c r="H154" s="4">
        <f t="shared" si="18"/>
        <v>154</v>
      </c>
      <c r="I154" s="4">
        <f t="shared" si="19"/>
        <v>152</v>
      </c>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
        <v>481</v>
      </c>
      <c r="H155" s="4">
        <f t="shared" si="18"/>
        <v>155</v>
      </c>
      <c r="I155" s="4">
        <f t="shared" si="19"/>
        <v>153</v>
      </c>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
        <v>482</v>
      </c>
      <c r="H156" s="4">
        <f t="shared" si="18"/>
        <v>156</v>
      </c>
      <c r="I156" s="4">
        <f t="shared" si="19"/>
        <v>154</v>
      </c>
      <c r="J156" s="4"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
        <v>483</v>
      </c>
      <c r="H157" s="4">
        <f t="shared" si="18"/>
        <v>157</v>
      </c>
      <c r="I157" s="4">
        <f t="shared" si="19"/>
        <v>155</v>
      </c>
      <c r="J157" s="4"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
        <v>484</v>
      </c>
      <c r="H158" s="4">
        <f t="shared" si="18"/>
        <v>158</v>
      </c>
      <c r="I158" s="4">
        <f t="shared" si="19"/>
        <v>156</v>
      </c>
      <c r="J158" s="4"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
        <v>485</v>
      </c>
      <c r="H159" s="4">
        <f t="shared" si="18"/>
        <v>159</v>
      </c>
      <c r="I159" s="4">
        <f t="shared" si="19"/>
        <v>157</v>
      </c>
      <c r="J159" s="4"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
        <v>486</v>
      </c>
      <c r="H160" s="4">
        <f t="shared" si="18"/>
        <v>160</v>
      </c>
      <c r="I160" s="4">
        <f t="shared" si="19"/>
        <v>158</v>
      </c>
      <c r="J160" s="4"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
        <v>487</v>
      </c>
      <c r="H161" s="4">
        <f t="shared" si="18"/>
        <v>161</v>
      </c>
      <c r="I161" s="4">
        <f t="shared" si="19"/>
        <v>159</v>
      </c>
      <c r="J161" s="4"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
        <v>488</v>
      </c>
      <c r="H162" s="4">
        <f t="shared" si="18"/>
        <v>162</v>
      </c>
      <c r="I162" s="4">
        <f t="shared" si="19"/>
        <v>160</v>
      </c>
      <c r="J162" s="4"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
        <v>489</v>
      </c>
      <c r="H163" s="4">
        <f t="shared" si="18"/>
        <v>163</v>
      </c>
      <c r="I163" s="4">
        <f t="shared" si="19"/>
        <v>161</v>
      </c>
      <c r="J163" s="4"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
        <v>490</v>
      </c>
      <c r="H164" s="4">
        <f t="shared" si="18"/>
        <v>164</v>
      </c>
      <c r="I164" s="4">
        <f t="shared" si="19"/>
        <v>162</v>
      </c>
      <c r="J164" s="4"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
        <v>491</v>
      </c>
      <c r="H165" s="4">
        <f t="shared" si="18"/>
        <v>165</v>
      </c>
      <c r="I165" s="4">
        <f t="shared" si="19"/>
        <v>163</v>
      </c>
      <c r="J165" s="4"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
        <v>492</v>
      </c>
      <c r="H166" s="4">
        <f t="shared" si="18"/>
        <v>166</v>
      </c>
      <c r="I166" s="4">
        <f t="shared" si="19"/>
        <v>164</v>
      </c>
      <c r="J166" s="4"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
        <v>493</v>
      </c>
      <c r="H167" s="4">
        <f t="shared" si="18"/>
        <v>167</v>
      </c>
      <c r="I167" s="4">
        <f t="shared" si="19"/>
        <v>165</v>
      </c>
      <c r="J167" s="4"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
        <v>494</v>
      </c>
      <c r="H168" s="4">
        <f t="shared" si="18"/>
        <v>168</v>
      </c>
      <c r="I168" s="4">
        <f t="shared" si="19"/>
        <v>166</v>
      </c>
      <c r="J168" s="4"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
        <v>495</v>
      </c>
      <c r="H169" s="4">
        <f t="shared" si="18"/>
        <v>169</v>
      </c>
      <c r="I169" s="4">
        <f t="shared" si="19"/>
        <v>167</v>
      </c>
      <c r="J169" s="4"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
        <v>496</v>
      </c>
      <c r="H170" s="4">
        <f t="shared" si="18"/>
        <v>170</v>
      </c>
      <c r="I170" s="4">
        <f t="shared" si="19"/>
        <v>168</v>
      </c>
      <c r="J170" s="4"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
        <v>497</v>
      </c>
      <c r="H171" s="4">
        <f t="shared" si="18"/>
        <v>171</v>
      </c>
      <c r="I171" s="4">
        <f t="shared" si="19"/>
        <v>169</v>
      </c>
      <c r="J171" s="4"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
        <v>498</v>
      </c>
      <c r="H172" s="4">
        <f t="shared" si="18"/>
        <v>172</v>
      </c>
      <c r="I172" s="4">
        <f t="shared" si="19"/>
        <v>170</v>
      </c>
      <c r="J172" s="4"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
        <v>499</v>
      </c>
      <c r="H173" s="4">
        <f t="shared" si="18"/>
        <v>173</v>
      </c>
      <c r="I173" s="4">
        <f t="shared" si="19"/>
        <v>171</v>
      </c>
      <c r="J173" s="4"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
        <v>500</v>
      </c>
      <c r="H174" s="4">
        <f t="shared" si="18"/>
        <v>174</v>
      </c>
      <c r="I174" s="4">
        <f t="shared" si="19"/>
        <v>172</v>
      </c>
      <c r="J174" s="4"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
        <v>501</v>
      </c>
      <c r="H175" s="4">
        <f t="shared" si="18"/>
        <v>175</v>
      </c>
      <c r="I175" s="4">
        <f t="shared" si="19"/>
        <v>173</v>
      </c>
      <c r="J175" s="4"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
        <v>502</v>
      </c>
      <c r="H176" s="4">
        <f t="shared" si="18"/>
        <v>176</v>
      </c>
      <c r="I176" s="4">
        <f t="shared" si="19"/>
        <v>174</v>
      </c>
      <c r="J176" s="4"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
        <v>503</v>
      </c>
      <c r="H177" s="4">
        <f t="shared" si="18"/>
        <v>177</v>
      </c>
      <c r="I177" s="4">
        <f t="shared" si="19"/>
        <v>175</v>
      </c>
      <c r="J177" s="4"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
        <v>504</v>
      </c>
      <c r="H178" s="4">
        <f t="shared" si="18"/>
        <v>178</v>
      </c>
      <c r="I178" s="4">
        <f t="shared" si="19"/>
        <v>176</v>
      </c>
      <c r="J178" s="4"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
        <v>505</v>
      </c>
      <c r="H179" s="4">
        <f t="shared" si="18"/>
        <v>179</v>
      </c>
      <c r="I179" s="4">
        <f t="shared" si="19"/>
        <v>177</v>
      </c>
      <c r="J179" s="4"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
        <v>506</v>
      </c>
      <c r="H180" s="4">
        <f t="shared" si="18"/>
        <v>180</v>
      </c>
      <c r="I180" s="4">
        <f t="shared" si="19"/>
        <v>178</v>
      </c>
      <c r="J180" s="4"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
        <v>507</v>
      </c>
      <c r="H181" s="4">
        <f t="shared" si="18"/>
        <v>181</v>
      </c>
      <c r="I181" s="4">
        <f t="shared" si="19"/>
        <v>179</v>
      </c>
      <c r="J181" s="4"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
        <v>508</v>
      </c>
      <c r="H182" s="4">
        <f t="shared" si="18"/>
        <v>182</v>
      </c>
      <c r="I182" s="4">
        <f t="shared" si="19"/>
        <v>180</v>
      </c>
      <c r="J182" s="4"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
        <v>509</v>
      </c>
      <c r="H183" s="4">
        <f t="shared" si="18"/>
        <v>183</v>
      </c>
      <c r="I183" s="4">
        <f t="shared" si="19"/>
        <v>181</v>
      </c>
      <c r="J183" s="4"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
        <v>510</v>
      </c>
      <c r="H184" s="4">
        <f t="shared" si="18"/>
        <v>184</v>
      </c>
      <c r="I184" s="4">
        <f t="shared" si="19"/>
        <v>182</v>
      </c>
      <c r="J184" s="4"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
        <v>511</v>
      </c>
      <c r="H185" s="4">
        <f t="shared" si="18"/>
        <v>185</v>
      </c>
      <c r="I185" s="4">
        <f t="shared" si="19"/>
        <v>183</v>
      </c>
      <c r="J185" s="4"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
        <v>512</v>
      </c>
      <c r="H186" s="4">
        <f t="shared" si="18"/>
        <v>186</v>
      </c>
      <c r="I186" s="4">
        <f t="shared" si="19"/>
        <v>184</v>
      </c>
      <c r="J186" s="4"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
        <v>513</v>
      </c>
      <c r="H187" s="4">
        <f t="shared" si="18"/>
        <v>187</v>
      </c>
      <c r="I187" s="4">
        <f t="shared" si="19"/>
        <v>185</v>
      </c>
      <c r="J187" s="4"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
        <v>514</v>
      </c>
      <c r="H188" s="4">
        <f t="shared" si="18"/>
        <v>188</v>
      </c>
      <c r="I188" s="4">
        <f t="shared" si="19"/>
        <v>186</v>
      </c>
      <c r="J188" s="4"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
        <v>515</v>
      </c>
      <c r="H189" s="4">
        <f t="shared" si="18"/>
        <v>189</v>
      </c>
      <c r="I189" s="4">
        <f t="shared" si="19"/>
        <v>187</v>
      </c>
      <c r="J189" s="4"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
        <v>516</v>
      </c>
      <c r="H190" s="4">
        <f t="shared" si="18"/>
        <v>190</v>
      </c>
      <c r="I190" s="4">
        <f t="shared" si="19"/>
        <v>188</v>
      </c>
      <c r="J190" s="4"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
        <v>517</v>
      </c>
      <c r="H191" s="4">
        <f t="shared" si="18"/>
        <v>191</v>
      </c>
      <c r="I191" s="4">
        <f t="shared" si="19"/>
        <v>189</v>
      </c>
      <c r="J191" s="4"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
        <v>518</v>
      </c>
      <c r="H192" s="4">
        <f t="shared" si="18"/>
        <v>192</v>
      </c>
      <c r="I192" s="4">
        <f t="shared" si="19"/>
        <v>190</v>
      </c>
      <c r="J192" s="4"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
        <v>519</v>
      </c>
      <c r="H193" s="4">
        <f t="shared" si="18"/>
        <v>193</v>
      </c>
      <c r="I193" s="4">
        <f t="shared" si="19"/>
        <v>191</v>
      </c>
      <c r="J193" s="4"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
        <v>520</v>
      </c>
      <c r="H194" s="4">
        <f t="shared" si="18"/>
        <v>194</v>
      </c>
      <c r="I194" s="4">
        <f t="shared" si="19"/>
        <v>192</v>
      </c>
      <c r="J194" s="4"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
        <v>521</v>
      </c>
      <c r="H195" s="4">
        <f t="shared" si="18"/>
        <v>195</v>
      </c>
      <c r="I195" s="4">
        <f t="shared" si="19"/>
        <v>193</v>
      </c>
      <c r="J195" s="4"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
        <v>522</v>
      </c>
      <c r="H196" s="4">
        <f t="shared" si="18"/>
        <v>196</v>
      </c>
      <c r="I196" s="4">
        <f t="shared" si="19"/>
        <v>194</v>
      </c>
      <c r="J196" s="4"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
        <v>523</v>
      </c>
      <c r="H197" s="4">
        <f t="shared" si="18"/>
        <v>197</v>
      </c>
      <c r="I197" s="4">
        <f t="shared" si="19"/>
        <v>195</v>
      </c>
      <c r="J197" s="4"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
        <v>524</v>
      </c>
      <c r="H198" s="4">
        <f t="shared" si="18"/>
        <v>198</v>
      </c>
      <c r="I198" s="4">
        <f t="shared" si="19"/>
        <v>196</v>
      </c>
      <c r="J198" s="4"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
        <v>525</v>
      </c>
      <c r="H199" s="4">
        <f t="shared" si="18"/>
        <v>199</v>
      </c>
      <c r="I199" s="4">
        <f t="shared" si="19"/>
        <v>197</v>
      </c>
      <c r="J199" s="4"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
        <v>526</v>
      </c>
      <c r="H200" s="4">
        <f t="shared" si="18"/>
        <v>200</v>
      </c>
      <c r="I200" s="4">
        <f t="shared" si="19"/>
        <v>198</v>
      </c>
      <c r="J200" s="4"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
        <v>527</v>
      </c>
      <c r="H201" s="4">
        <f t="shared" si="18"/>
        <v>201</v>
      </c>
      <c r="I201" s="4">
        <f t="shared" si="19"/>
        <v>199</v>
      </c>
      <c r="J201" s="4"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
        <v>528</v>
      </c>
      <c r="H202" s="4">
        <f t="shared" si="18"/>
        <v>202</v>
      </c>
      <c r="I202" s="4">
        <f t="shared" si="19"/>
        <v>200</v>
      </c>
      <c r="J202" s="4"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
        <v>529</v>
      </c>
      <c r="H203" s="4">
        <f t="shared" si="18"/>
        <v>203</v>
      </c>
      <c r="I203" s="4">
        <f t="shared" si="19"/>
        <v>201</v>
      </c>
      <c r="J203" s="4"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
        <v>530</v>
      </c>
      <c r="H204" s="4">
        <f t="shared" si="18"/>
        <v>204</v>
      </c>
      <c r="I204" s="4">
        <f t="shared" si="19"/>
        <v>202</v>
      </c>
      <c r="J204" s="4"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
        <v>531</v>
      </c>
      <c r="H205" s="4">
        <f t="shared" si="18"/>
        <v>205</v>
      </c>
      <c r="I205" s="4">
        <f t="shared" si="19"/>
        <v>203</v>
      </c>
      <c r="J205" s="4"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
        <v>532</v>
      </c>
      <c r="H206" s="4">
        <f t="shared" si="18"/>
        <v>206</v>
      </c>
      <c r="I206" s="4">
        <f t="shared" si="19"/>
        <v>204</v>
      </c>
      <c r="J206" s="4"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
        <v>533</v>
      </c>
      <c r="H207" s="4">
        <f t="shared" si="18"/>
        <v>207</v>
      </c>
      <c r="I207" s="4">
        <f t="shared" si="19"/>
        <v>205</v>
      </c>
      <c r="J207" s="4"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
        <v>534</v>
      </c>
      <c r="H208" s="4">
        <f t="shared" si="18"/>
        <v>208</v>
      </c>
      <c r="I208" s="4">
        <f t="shared" si="19"/>
        <v>206</v>
      </c>
      <c r="J208" s="4"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
        <v>535</v>
      </c>
      <c r="H209" s="4">
        <f t="shared" si="18"/>
        <v>209</v>
      </c>
      <c r="I209" s="4">
        <f t="shared" si="19"/>
        <v>207</v>
      </c>
      <c r="J209" s="4"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
        <v>472</v>
      </c>
      <c r="H210" s="4">
        <f t="shared" si="18"/>
        <v>210</v>
      </c>
      <c r="I210" s="4">
        <f t="shared" si="19"/>
        <v>208</v>
      </c>
      <c r="J210" s="4"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
        <v>536</v>
      </c>
      <c r="H211" s="4">
        <f t="shared" si="18"/>
        <v>211</v>
      </c>
      <c r="I211" s="4">
        <f t="shared" si="19"/>
        <v>209</v>
      </c>
      <c r="J211" s="4"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
        <v>537</v>
      </c>
      <c r="H212" s="4">
        <f t="shared" si="18"/>
        <v>212</v>
      </c>
      <c r="I212" s="4">
        <f t="shared" si="19"/>
        <v>210</v>
      </c>
      <c r="J212" s="4"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
        <v>538</v>
      </c>
      <c r="I213" s="4">
        <f t="shared" si="19"/>
        <v>211</v>
      </c>
      <c r="J213" s="4" t="s">
        <v>305</v>
      </c>
      <c r="K213" s="4">
        <v>3661</v>
      </c>
      <c r="L213" s="4">
        <v>0</v>
      </c>
    </row>
    <row r="214" spans="1:12" ht="120" x14ac:dyDescent="0.25">
      <c r="A214" s="2">
        <f>IF(BD_Versos[[#This Row],[Tema_Principal]]="","",ROW(BD_Versos[[#This Row],[Tema_Principal]])-1)</f>
        <v>213</v>
      </c>
      <c r="B214" s="3" t="s">
        <v>347</v>
      </c>
      <c r="C214" s="2" t="s">
        <v>586</v>
      </c>
      <c r="D214" s="4" t="s">
        <v>50</v>
      </c>
      <c r="E214" s="4">
        <v>4</v>
      </c>
      <c r="F214" s="5" t="s">
        <v>298</v>
      </c>
      <c r="G214" s="6" t="s">
        <v>539</v>
      </c>
      <c r="H214" s="4">
        <f t="shared" si="18"/>
        <v>214</v>
      </c>
      <c r="K214" s="4"/>
      <c r="L214" s="4"/>
    </row>
    <row r="215" spans="1:12" ht="60" x14ac:dyDescent="0.25">
      <c r="A215" s="2">
        <f>IF(BD_Versos[[#This Row],[Tema_Principal]]="","",ROW(BD_Versos[[#This Row],[Tema_Principal]])-1)</f>
        <v>214</v>
      </c>
      <c r="B215" s="3" t="s">
        <v>347</v>
      </c>
      <c r="C215" s="2" t="s">
        <v>586</v>
      </c>
      <c r="D215" s="4" t="s">
        <v>50</v>
      </c>
      <c r="E215" s="4">
        <v>9</v>
      </c>
      <c r="F215" s="5" t="s">
        <v>139</v>
      </c>
      <c r="G215" s="6" t="s">
        <v>542</v>
      </c>
      <c r="I215" s="4">
        <f t="shared" si="19"/>
        <v>213</v>
      </c>
      <c r="K215" s="4"/>
      <c r="L215" s="4"/>
    </row>
    <row r="216" spans="1:12" ht="45" x14ac:dyDescent="0.25">
      <c r="A216" s="2">
        <f>IF(BD_Versos[[#This Row],[Tema_Principal]]="","",ROW(BD_Versos[[#This Row],[Tema_Principal]])-1)</f>
        <v>215</v>
      </c>
      <c r="B216" s="3" t="s">
        <v>347</v>
      </c>
      <c r="C216" s="2" t="s">
        <v>586</v>
      </c>
      <c r="D216" s="4" t="s">
        <v>33</v>
      </c>
      <c r="E216" s="4">
        <v>4</v>
      </c>
      <c r="F216" s="5" t="s">
        <v>297</v>
      </c>
      <c r="G216" s="6" t="s">
        <v>545</v>
      </c>
      <c r="H216" s="4">
        <f t="shared" ref="H216" si="20">A218</f>
        <v>217</v>
      </c>
      <c r="I216" s="4">
        <f t="shared" ref="I216" si="21">A215</f>
        <v>214</v>
      </c>
      <c r="K216" s="4"/>
      <c r="L216" s="4"/>
    </row>
    <row r="217" spans="1:12" ht="60" x14ac:dyDescent="0.25">
      <c r="A217" s="2">
        <f>IF(BD_Versos[[#This Row],[Tema_Principal]]="","",ROW(BD_Versos[[#This Row],[Tema_Principal]])-1)</f>
        <v>216</v>
      </c>
      <c r="B217" s="3" t="s">
        <v>347</v>
      </c>
      <c r="C217" s="2" t="s">
        <v>586</v>
      </c>
      <c r="D217" s="4" t="s">
        <v>33</v>
      </c>
      <c r="E217" s="4">
        <v>8</v>
      </c>
      <c r="F217" s="5" t="s">
        <v>28</v>
      </c>
      <c r="G217" s="6" t="s">
        <v>546</v>
      </c>
      <c r="H217" s="4">
        <f t="shared" ref="H217" si="22">A219</f>
        <v>218</v>
      </c>
      <c r="I217" s="4">
        <f t="shared" ref="I217" si="23">A216</f>
        <v>215</v>
      </c>
      <c r="K217" s="4"/>
      <c r="L217" s="4"/>
    </row>
    <row r="218" spans="1:12" ht="45" x14ac:dyDescent="0.25">
      <c r="A218" s="2">
        <f>IF(BD_Versos[[#This Row],[Tema_Principal]]="","",ROW(BD_Versos[[#This Row],[Tema_Principal]])-1)</f>
        <v>217</v>
      </c>
      <c r="B218" s="3" t="s">
        <v>347</v>
      </c>
      <c r="C218" s="2" t="s">
        <v>348</v>
      </c>
      <c r="D218" s="4" t="s">
        <v>50</v>
      </c>
      <c r="E218" s="4">
        <v>24</v>
      </c>
      <c r="F218" s="5" t="s">
        <v>47</v>
      </c>
      <c r="G218" s="6" t="s">
        <v>543</v>
      </c>
      <c r="H218" s="4">
        <f t="shared" ref="H218:H221" si="24">A219</f>
        <v>218</v>
      </c>
      <c r="K218" s="4"/>
      <c r="L218" s="4"/>
    </row>
    <row r="219" spans="1:12" ht="45" x14ac:dyDescent="0.25">
      <c r="A219" s="2">
        <f>IF(BD_Versos[[#This Row],[Tema_Principal]]="","",ROW(BD_Versos[[#This Row],[Tema_Principal]])-1)</f>
        <v>218</v>
      </c>
      <c r="B219" s="3" t="s">
        <v>347</v>
      </c>
      <c r="C219" s="2" t="s">
        <v>348</v>
      </c>
      <c r="D219" s="4" t="s">
        <v>30</v>
      </c>
      <c r="E219" s="4">
        <v>1</v>
      </c>
      <c r="F219" s="5" t="s">
        <v>47</v>
      </c>
      <c r="G219" s="6" t="s">
        <v>544</v>
      </c>
      <c r="H219" s="4">
        <f>A217</f>
        <v>216</v>
      </c>
      <c r="I219" s="4">
        <f t="shared" ref="I219" si="25">A218</f>
        <v>217</v>
      </c>
      <c r="K219" s="4"/>
      <c r="L219" s="4"/>
    </row>
    <row r="220" spans="1:12" ht="60" x14ac:dyDescent="0.25">
      <c r="A220" s="2">
        <f>IF(BD_Versos[[#This Row],[Tema_Principal]]="","",ROW(BD_Versos[[#This Row],[Tema_Principal]])-1)</f>
        <v>219</v>
      </c>
      <c r="B220" s="3" t="s">
        <v>347</v>
      </c>
      <c r="C220" s="2" t="s">
        <v>348</v>
      </c>
      <c r="D220" s="4" t="s">
        <v>13</v>
      </c>
      <c r="E220" s="4">
        <v>8</v>
      </c>
      <c r="F220" s="5" t="s">
        <v>110</v>
      </c>
      <c r="G220" s="6" t="s">
        <v>547</v>
      </c>
      <c r="I220" s="4">
        <f>A217</f>
        <v>216</v>
      </c>
      <c r="K220" s="4"/>
      <c r="L220" s="4"/>
    </row>
    <row r="221" spans="1:12" ht="60" x14ac:dyDescent="0.25">
      <c r="A221" s="2">
        <f>IF(BD_Versos[[#This Row],[Tema_Principal]]="","",ROW(BD_Versos[[#This Row],[Tema_Principal]])-1)</f>
        <v>220</v>
      </c>
      <c r="B221" s="3" t="s">
        <v>347</v>
      </c>
      <c r="C221" s="2" t="s">
        <v>540</v>
      </c>
      <c r="D221" s="4" t="s">
        <v>92</v>
      </c>
      <c r="E221" s="4">
        <v>1</v>
      </c>
      <c r="F221" s="5" t="s">
        <v>124</v>
      </c>
      <c r="G221" s="6" t="s">
        <v>548</v>
      </c>
      <c r="H221" s="4">
        <f t="shared" si="24"/>
        <v>221</v>
      </c>
      <c r="K221" s="4"/>
      <c r="L221" s="4"/>
    </row>
    <row r="222" spans="1:12" ht="75" x14ac:dyDescent="0.25">
      <c r="A222" s="2">
        <f>IF(BD_Versos[[#This Row],[Tema_Principal]]="","",ROW(BD_Versos[[#This Row],[Tema_Principal]])-1)</f>
        <v>221</v>
      </c>
      <c r="B222" s="3" t="s">
        <v>347</v>
      </c>
      <c r="C222" s="2" t="s">
        <v>540</v>
      </c>
      <c r="D222" s="4" t="s">
        <v>92</v>
      </c>
      <c r="E222" s="4">
        <v>15</v>
      </c>
      <c r="F222" s="5" t="s">
        <v>137</v>
      </c>
      <c r="G222" s="6" t="s">
        <v>549</v>
      </c>
      <c r="H222" s="4">
        <f t="shared" ref="H222:H223" si="26">A223</f>
        <v>222</v>
      </c>
      <c r="I222" s="4">
        <f t="shared" ref="I222:I224" si="27">A221</f>
        <v>220</v>
      </c>
      <c r="K222" s="4"/>
      <c r="L222" s="4"/>
    </row>
    <row r="223" spans="1:12" ht="90" x14ac:dyDescent="0.25">
      <c r="A223" s="2">
        <f>IF(BD_Versos[[#This Row],[Tema_Principal]]="","",ROW(BD_Versos[[#This Row],[Tema_Principal]])-1)</f>
        <v>222</v>
      </c>
      <c r="B223" s="3" t="s">
        <v>347</v>
      </c>
      <c r="C223" s="2" t="s">
        <v>540</v>
      </c>
      <c r="D223" s="4" t="s">
        <v>95</v>
      </c>
      <c r="E223" s="4">
        <v>1</v>
      </c>
      <c r="F223" s="5" t="s">
        <v>35</v>
      </c>
      <c r="G223" s="6" t="s">
        <v>550</v>
      </c>
      <c r="H223" s="4">
        <f t="shared" si="26"/>
        <v>223</v>
      </c>
      <c r="I223" s="4">
        <f t="shared" si="27"/>
        <v>221</v>
      </c>
      <c r="K223" s="4"/>
      <c r="L223" s="4"/>
    </row>
    <row r="224" spans="1:12" ht="60" x14ac:dyDescent="0.25">
      <c r="A224" s="2">
        <f>IF(BD_Versos[[#This Row],[Tema_Principal]]="","",ROW(BD_Versos[[#This Row],[Tema_Principal]])-1)</f>
        <v>223</v>
      </c>
      <c r="B224" s="3" t="s">
        <v>347</v>
      </c>
      <c r="C224" s="2" t="s">
        <v>540</v>
      </c>
      <c r="D224" s="4" t="s">
        <v>23</v>
      </c>
      <c r="E224" s="4">
        <v>1</v>
      </c>
      <c r="F224" s="5" t="s">
        <v>118</v>
      </c>
      <c r="G224" s="6" t="s">
        <v>551</v>
      </c>
      <c r="I224" s="4">
        <f t="shared" si="27"/>
        <v>222</v>
      </c>
      <c r="K224" s="4"/>
      <c r="L224" s="4"/>
    </row>
    <row r="225" spans="1:12" ht="45" x14ac:dyDescent="0.25">
      <c r="A225" s="2">
        <f>IF(BD_Versos[[#This Row],[Tema_Principal]]="","",ROW(BD_Versos[[#This Row],[Tema_Principal]])-1)</f>
        <v>224</v>
      </c>
      <c r="B225" s="3" t="s">
        <v>347</v>
      </c>
      <c r="C225" s="14" t="s">
        <v>566</v>
      </c>
      <c r="D225" s="4" t="s">
        <v>92</v>
      </c>
      <c r="E225" s="4">
        <v>1</v>
      </c>
      <c r="F225" s="5" t="s">
        <v>300</v>
      </c>
      <c r="G225" s="6" t="s">
        <v>629</v>
      </c>
      <c r="K225" s="4"/>
      <c r="L225" s="4"/>
    </row>
    <row r="226" spans="1:12" ht="30" x14ac:dyDescent="0.25">
      <c r="A226" s="2">
        <f>IF(BD_Versos[[#This Row],[Tema_Principal]]="","",ROW(BD_Versos[[#This Row],[Tema_Principal]])-1)</f>
        <v>225</v>
      </c>
      <c r="B226" s="3" t="s">
        <v>347</v>
      </c>
      <c r="C226" s="14" t="s">
        <v>572</v>
      </c>
      <c r="D226" s="4" t="s">
        <v>39</v>
      </c>
      <c r="E226" s="4">
        <v>6</v>
      </c>
      <c r="F226" s="5" t="s">
        <v>31</v>
      </c>
      <c r="G226" s="6" t="s">
        <v>630</v>
      </c>
      <c r="K226" s="4"/>
      <c r="L226" s="4"/>
    </row>
    <row r="227" spans="1:12" ht="30" x14ac:dyDescent="0.25">
      <c r="A227" s="2">
        <f>IF(BD_Versos[[#This Row],[Tema_Principal]]="","",ROW(BD_Versos[[#This Row],[Tema_Principal]])-1)</f>
        <v>226</v>
      </c>
      <c r="B227" s="3" t="s">
        <v>347</v>
      </c>
      <c r="C227" s="14" t="s">
        <v>572</v>
      </c>
      <c r="D227" s="4" t="s">
        <v>39</v>
      </c>
      <c r="E227" s="4">
        <v>2</v>
      </c>
      <c r="F227" s="5" t="s">
        <v>300</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K227" s="4"/>
      <c r="L227" s="4"/>
    </row>
    <row r="228" spans="1:12" ht="45" x14ac:dyDescent="0.25">
      <c r="A228" s="2">
        <f>IF(BD_Versos[[#This Row],[Tema_Principal]]="","",ROW(BD_Versos[[#This Row],[Tema_Principal]])-1)</f>
        <v>227</v>
      </c>
      <c r="B228" s="3" t="s">
        <v>347</v>
      </c>
      <c r="C228" s="2" t="s">
        <v>636</v>
      </c>
      <c r="D228" s="4" t="s">
        <v>92</v>
      </c>
      <c r="E228" s="4">
        <v>15</v>
      </c>
      <c r="F228" s="5" t="s">
        <v>43</v>
      </c>
      <c r="G228" s="6" t="s">
        <v>552</v>
      </c>
      <c r="H228" s="4">
        <f>A229</f>
        <v>228</v>
      </c>
      <c r="K228" s="4"/>
      <c r="L228" s="4"/>
    </row>
    <row r="229" spans="1:12" ht="75" x14ac:dyDescent="0.25">
      <c r="A229" s="2">
        <f>IF(BD_Versos[[#This Row],[Tema_Principal]]="","",ROW(BD_Versos[[#This Row],[Tema_Principal]])-1)</f>
        <v>228</v>
      </c>
      <c r="B229" s="3" t="s">
        <v>347</v>
      </c>
      <c r="C229" s="2" t="s">
        <v>637</v>
      </c>
      <c r="D229" s="4" t="s">
        <v>92</v>
      </c>
      <c r="E229" s="4">
        <v>15</v>
      </c>
      <c r="F229" s="5" t="s">
        <v>137</v>
      </c>
      <c r="G229" s="6" t="s">
        <v>549</v>
      </c>
      <c r="H229" s="4">
        <f>A230</f>
        <v>229</v>
      </c>
      <c r="K229" s="4"/>
      <c r="L229" s="4"/>
    </row>
    <row r="230" spans="1:12" ht="30" x14ac:dyDescent="0.25">
      <c r="A230" s="2">
        <f>IF(BD_Versos[[#This Row],[Tema_Principal]]="","",ROW(BD_Versos[[#This Row],[Tema_Principal]])-1)</f>
        <v>229</v>
      </c>
      <c r="B230" s="3" t="s">
        <v>347</v>
      </c>
      <c r="C230" s="2" t="s">
        <v>637</v>
      </c>
      <c r="D230" s="4" t="s">
        <v>92</v>
      </c>
      <c r="E230" s="4">
        <v>15</v>
      </c>
      <c r="F230" s="5" t="s">
        <v>111</v>
      </c>
      <c r="G230" s="6" t="s">
        <v>554</v>
      </c>
      <c r="I230" s="4">
        <f>A229</f>
        <v>228</v>
      </c>
      <c r="K230" s="4"/>
      <c r="L230" s="4"/>
    </row>
    <row r="231" spans="1:12" ht="60" x14ac:dyDescent="0.25">
      <c r="A231" s="2">
        <f>IF(BD_Versos[[#This Row],[Tema_Principal]]="","",ROW(BD_Versos[[#This Row],[Tema_Principal]])-1)</f>
        <v>230</v>
      </c>
      <c r="B231" s="3" t="s">
        <v>347</v>
      </c>
      <c r="C231" s="2" t="s">
        <v>638</v>
      </c>
      <c r="D231" s="4" t="s">
        <v>15</v>
      </c>
      <c r="E231" s="4">
        <v>1</v>
      </c>
      <c r="F231" s="5" t="s">
        <v>300</v>
      </c>
      <c r="G231" s="6" t="s">
        <v>555</v>
      </c>
      <c r="H231" s="4">
        <f>A232</f>
        <v>231</v>
      </c>
      <c r="I231" s="4">
        <f>A289</f>
        <v>288</v>
      </c>
      <c r="K231" s="4"/>
      <c r="L231" s="4"/>
    </row>
    <row r="232" spans="1:12" ht="60" x14ac:dyDescent="0.25">
      <c r="A232" s="2">
        <f>IF(BD_Versos[[#This Row],[Tema_Principal]]="","",ROW(BD_Versos[[#This Row],[Tema_Principal]])-1)</f>
        <v>231</v>
      </c>
      <c r="B232" s="3" t="s">
        <v>347</v>
      </c>
      <c r="C232" s="2" t="s">
        <v>587</v>
      </c>
      <c r="D232" s="4" t="s">
        <v>15</v>
      </c>
      <c r="E232" s="4">
        <v>4</v>
      </c>
      <c r="F232" s="5" t="s">
        <v>31</v>
      </c>
      <c r="G232" s="6" t="s">
        <v>556</v>
      </c>
      <c r="H232" s="4">
        <f>A233</f>
        <v>232</v>
      </c>
      <c r="I232" s="4">
        <f>A231</f>
        <v>230</v>
      </c>
      <c r="K232" s="4"/>
      <c r="L232" s="4"/>
    </row>
    <row r="233" spans="1:12" ht="45" x14ac:dyDescent="0.25">
      <c r="A233" s="2">
        <f>IF(BD_Versos[[#This Row],[Tema_Principal]]="","",ROW(BD_Versos[[#This Row],[Tema_Principal]])-1)</f>
        <v>232</v>
      </c>
      <c r="B233" s="3" t="s">
        <v>347</v>
      </c>
      <c r="C233" s="2" t="s">
        <v>587</v>
      </c>
      <c r="D233" s="4" t="s">
        <v>36</v>
      </c>
      <c r="E233" s="4">
        <v>2</v>
      </c>
      <c r="F233" s="5" t="s">
        <v>110</v>
      </c>
      <c r="G233" s="6" t="s">
        <v>558</v>
      </c>
      <c r="H233" s="4">
        <f>A234</f>
        <v>233</v>
      </c>
      <c r="I233" s="4">
        <f>A232</f>
        <v>231</v>
      </c>
      <c r="K233" s="4"/>
      <c r="L233" s="4"/>
    </row>
    <row r="234" spans="1:12" ht="60" x14ac:dyDescent="0.25">
      <c r="A234" s="2">
        <f>IF(BD_Versos[[#This Row],[Tema_Principal]]="","",ROW(BD_Versos[[#This Row],[Tema_Principal]])-1)</f>
        <v>233</v>
      </c>
      <c r="B234" s="3" t="s">
        <v>347</v>
      </c>
      <c r="C234" s="2" t="s">
        <v>588</v>
      </c>
      <c r="D234" s="4" t="s">
        <v>15</v>
      </c>
      <c r="E234" s="4">
        <v>9</v>
      </c>
      <c r="F234" s="5" t="s">
        <v>108</v>
      </c>
      <c r="G234" s="6" t="s">
        <v>557</v>
      </c>
      <c r="I234" s="4">
        <f>A233</f>
        <v>232</v>
      </c>
      <c r="K234" s="4"/>
      <c r="L234" s="4"/>
    </row>
    <row r="235" spans="1:12" ht="60" x14ac:dyDescent="0.25">
      <c r="A235" s="2">
        <f>IF(BD_Versos[[#This Row],[Tema_Principal]]="","",ROW(BD_Versos[[#This Row],[Tema_Principal]])-1)</f>
        <v>234</v>
      </c>
      <c r="B235" s="3" t="s">
        <v>347</v>
      </c>
      <c r="C235" s="2" t="s">
        <v>589</v>
      </c>
      <c r="D235" s="4" t="s">
        <v>36</v>
      </c>
      <c r="E235" s="4">
        <v>4</v>
      </c>
      <c r="F235" s="5" t="s">
        <v>122</v>
      </c>
      <c r="G235" s="6" t="s">
        <v>559</v>
      </c>
      <c r="H235" s="4">
        <f t="shared" ref="H235" si="28">A236</f>
        <v>235</v>
      </c>
      <c r="K235" s="4"/>
      <c r="L235" s="4"/>
    </row>
    <row r="236" spans="1:12" ht="75" x14ac:dyDescent="0.25">
      <c r="A236" s="2">
        <f>IF(BD_Versos[[#This Row],[Tema_Principal]]="","",ROW(BD_Versos[[#This Row],[Tema_Principal]])-1)</f>
        <v>235</v>
      </c>
      <c r="B236" s="3" t="s">
        <v>347</v>
      </c>
      <c r="C236" s="2" t="s">
        <v>589</v>
      </c>
      <c r="D236" s="4" t="s">
        <v>36</v>
      </c>
      <c r="E236" s="4">
        <v>9</v>
      </c>
      <c r="F236" s="5" t="s">
        <v>113</v>
      </c>
      <c r="G236" s="6" t="s">
        <v>560</v>
      </c>
      <c r="I236" s="4">
        <f t="shared" ref="I236" si="29">A235</f>
        <v>234</v>
      </c>
      <c r="K236" s="4"/>
      <c r="L236" s="4"/>
    </row>
    <row r="237" spans="1:12" ht="60" x14ac:dyDescent="0.25">
      <c r="A237" s="2">
        <f>IF(BD_Versos[[#This Row],[Tema_Principal]]="","",ROW(BD_Versos[[#This Row],[Tema_Principal]])-1)</f>
        <v>236</v>
      </c>
      <c r="B237" s="3" t="s">
        <v>347</v>
      </c>
      <c r="C237" s="2" t="s">
        <v>590</v>
      </c>
      <c r="D237" s="4" t="s">
        <v>39</v>
      </c>
      <c r="E237" s="4">
        <v>3</v>
      </c>
      <c r="F237" s="5" t="s">
        <v>118</v>
      </c>
      <c r="G237" s="6" t="s">
        <v>561</v>
      </c>
      <c r="K237" s="4"/>
      <c r="L237" s="4"/>
    </row>
    <row r="238" spans="1:12" ht="45" x14ac:dyDescent="0.25">
      <c r="A238" s="2">
        <f>IF(BD_Versos[[#This Row],[Tema_Principal]]="","",ROW(BD_Versos[[#This Row],[Tema_Principal]])-1)</f>
        <v>237</v>
      </c>
      <c r="B238" s="3" t="s">
        <v>347</v>
      </c>
      <c r="C238" s="2" t="s">
        <v>591</v>
      </c>
      <c r="D238" s="4" t="s">
        <v>18</v>
      </c>
      <c r="E238" s="4">
        <v>1</v>
      </c>
      <c r="F238" s="5" t="s">
        <v>37</v>
      </c>
      <c r="G238" s="6" t="s">
        <v>595</v>
      </c>
      <c r="K238" s="4"/>
      <c r="L238" s="4"/>
    </row>
    <row r="239" spans="1:12" ht="90" x14ac:dyDescent="0.25">
      <c r="A239" s="2">
        <f>IF(BD_Versos[[#This Row],[Tema_Principal]]="","",ROW(BD_Versos[[#This Row],[Tema_Principal]])-1)</f>
        <v>238</v>
      </c>
      <c r="B239" s="3" t="s">
        <v>347</v>
      </c>
      <c r="C239" s="2" t="s">
        <v>571</v>
      </c>
      <c r="D239" s="4" t="s">
        <v>20</v>
      </c>
      <c r="E239" s="4">
        <v>1</v>
      </c>
      <c r="F239" s="5" t="s">
        <v>112</v>
      </c>
      <c r="G239" s="6" t="s">
        <v>562</v>
      </c>
      <c r="H239" s="4">
        <f t="shared" ref="H239" si="30">A240</f>
        <v>239</v>
      </c>
      <c r="K239" s="4"/>
      <c r="L239" s="4"/>
    </row>
    <row r="240" spans="1:12" ht="60" x14ac:dyDescent="0.25">
      <c r="A240" s="2">
        <f>IF(BD_Versos[[#This Row],[Tema_Principal]]="","",ROW(BD_Versos[[#This Row],[Tema_Principal]])-1)</f>
        <v>239</v>
      </c>
      <c r="B240" s="3" t="s">
        <v>347</v>
      </c>
      <c r="C240" s="2" t="s">
        <v>571</v>
      </c>
      <c r="D240" s="4" t="s">
        <v>20</v>
      </c>
      <c r="E240" s="4">
        <v>1</v>
      </c>
      <c r="F240" s="5" t="s">
        <v>110</v>
      </c>
      <c r="G240" s="6" t="s">
        <v>563</v>
      </c>
      <c r="H240" s="4">
        <f t="shared" ref="H240" si="31">A241</f>
        <v>240</v>
      </c>
      <c r="I240" s="4">
        <f t="shared" ref="I240" si="32">A239</f>
        <v>238</v>
      </c>
      <c r="K240" s="4"/>
      <c r="L240" s="4"/>
    </row>
    <row r="241" spans="1:12" ht="45" x14ac:dyDescent="0.25">
      <c r="A241" s="2">
        <f>IF(BD_Versos[[#This Row],[Tema_Principal]]="","",ROW(BD_Versos[[#This Row],[Tema_Principal]])-1)</f>
        <v>240</v>
      </c>
      <c r="B241" s="3" t="s">
        <v>347</v>
      </c>
      <c r="C241" s="2" t="s">
        <v>571</v>
      </c>
      <c r="D241" s="4" t="s">
        <v>18</v>
      </c>
      <c r="E241" s="4">
        <v>4</v>
      </c>
      <c r="F241" s="5" t="s">
        <v>113</v>
      </c>
      <c r="G241" s="6" t="s">
        <v>596</v>
      </c>
      <c r="H241" s="4">
        <f t="shared" ref="H241" si="33">A242</f>
        <v>241</v>
      </c>
      <c r="I241" s="4">
        <f t="shared" ref="I241" si="34">A240</f>
        <v>239</v>
      </c>
      <c r="K241" s="4"/>
      <c r="L241" s="4"/>
    </row>
    <row r="242" spans="1:12" ht="75" x14ac:dyDescent="0.25">
      <c r="A242" s="2">
        <f>IF(BD_Versos[[#This Row],[Tema_Principal]]="","",ROW(BD_Versos[[#This Row],[Tema_Principal]])-1)</f>
        <v>241</v>
      </c>
      <c r="B242" s="3" t="s">
        <v>347</v>
      </c>
      <c r="C242" s="2" t="s">
        <v>571</v>
      </c>
      <c r="D242" s="4" t="s">
        <v>95</v>
      </c>
      <c r="E242" s="4">
        <v>2</v>
      </c>
      <c r="F242" s="5" t="s">
        <v>49</v>
      </c>
      <c r="G242" s="6" t="s">
        <v>597</v>
      </c>
      <c r="H242" s="4">
        <f t="shared" ref="H242:H243" si="35">A243</f>
        <v>242</v>
      </c>
      <c r="I242" s="4">
        <f t="shared" ref="I242:I244" si="36">A241</f>
        <v>240</v>
      </c>
      <c r="K242" s="4"/>
      <c r="L242" s="4"/>
    </row>
    <row r="243" spans="1:12" ht="60" x14ac:dyDescent="0.25">
      <c r="A243" s="2">
        <f>IF(BD_Versos[[#This Row],[Tema_Principal]]="","",ROW(BD_Versos[[#This Row],[Tema_Principal]])-1)</f>
        <v>242</v>
      </c>
      <c r="B243" s="3" t="s">
        <v>347</v>
      </c>
      <c r="C243" s="2" t="s">
        <v>571</v>
      </c>
      <c r="D243" s="4" t="s">
        <v>95</v>
      </c>
      <c r="E243" s="4">
        <v>2</v>
      </c>
      <c r="F243" s="5" t="s">
        <v>41</v>
      </c>
      <c r="G243" s="6" t="s">
        <v>598</v>
      </c>
      <c r="H243" s="4">
        <f t="shared" si="35"/>
        <v>243</v>
      </c>
      <c r="K243" s="4"/>
      <c r="L243" s="4"/>
    </row>
    <row r="244" spans="1:12" ht="60" x14ac:dyDescent="0.25">
      <c r="A244" s="2">
        <f>IF(BD_Versos[[#This Row],[Tema_Principal]]="","",ROW(BD_Versos[[#This Row],[Tema_Principal]])-1)</f>
        <v>243</v>
      </c>
      <c r="B244" s="3" t="s">
        <v>347</v>
      </c>
      <c r="C244" s="2" t="s">
        <v>571</v>
      </c>
      <c r="D244" s="4" t="s">
        <v>23</v>
      </c>
      <c r="E244" s="4">
        <v>1</v>
      </c>
      <c r="F244" s="5" t="s">
        <v>118</v>
      </c>
      <c r="G244" s="6" t="s">
        <v>599</v>
      </c>
      <c r="I244" s="4">
        <f t="shared" si="36"/>
        <v>242</v>
      </c>
      <c r="K244" s="4"/>
      <c r="L244" s="4"/>
    </row>
    <row r="245" spans="1:12" ht="75" x14ac:dyDescent="0.25">
      <c r="A245" s="2">
        <f>IF(BD_Versos[[#This Row],[Tema_Principal]]="","",ROW(BD_Versos[[#This Row],[Tema_Principal]])-1)</f>
        <v>244</v>
      </c>
      <c r="B245" s="3" t="s">
        <v>347</v>
      </c>
      <c r="C245" s="2" t="s">
        <v>568</v>
      </c>
      <c r="D245" s="4" t="s">
        <v>15</v>
      </c>
      <c r="E245" s="4">
        <v>9</v>
      </c>
      <c r="F245" s="5" t="s">
        <v>110</v>
      </c>
      <c r="G245" s="6" t="s">
        <v>600</v>
      </c>
      <c r="H245" s="4">
        <f t="shared" ref="H245" si="37">A246</f>
        <v>245</v>
      </c>
      <c r="K245" s="4"/>
      <c r="L245" s="4"/>
    </row>
    <row r="246" spans="1:12" ht="60" x14ac:dyDescent="0.25">
      <c r="A246" s="2">
        <f>IF(BD_Versos[[#This Row],[Tema_Principal]]="","",ROW(BD_Versos[[#This Row],[Tema_Principal]])-1)</f>
        <v>245</v>
      </c>
      <c r="B246" s="3" t="s">
        <v>347</v>
      </c>
      <c r="C246" s="2" t="s">
        <v>568</v>
      </c>
      <c r="D246" s="4" t="s">
        <v>15</v>
      </c>
      <c r="E246" s="4">
        <v>9</v>
      </c>
      <c r="F246" s="5" t="s">
        <v>124</v>
      </c>
      <c r="G246" s="6" t="s">
        <v>601</v>
      </c>
      <c r="H246" s="4">
        <f t="shared" ref="H246" si="38">A247</f>
        <v>246</v>
      </c>
      <c r="I246" s="4">
        <f t="shared" ref="I246:I247" si="39">A245</f>
        <v>244</v>
      </c>
      <c r="K246" s="4"/>
      <c r="L246" s="4"/>
    </row>
    <row r="247" spans="1:12" ht="30" x14ac:dyDescent="0.25">
      <c r="A247" s="2">
        <f>IF(BD_Versos[[#This Row],[Tema_Principal]]="","",ROW(BD_Versos[[#This Row],[Tema_Principal]])-1)</f>
        <v>246</v>
      </c>
      <c r="B247" s="3" t="s">
        <v>347</v>
      </c>
      <c r="C247" s="2" t="s">
        <v>568</v>
      </c>
      <c r="D247" s="4" t="s">
        <v>15</v>
      </c>
      <c r="E247" s="4">
        <v>9</v>
      </c>
      <c r="F247" s="5" t="s">
        <v>298</v>
      </c>
      <c r="G247" s="6" t="s">
        <v>602</v>
      </c>
      <c r="I247" s="4">
        <f t="shared" si="39"/>
        <v>245</v>
      </c>
      <c r="K247" s="4"/>
      <c r="L247" s="4"/>
    </row>
    <row r="248" spans="1:12" ht="45" x14ac:dyDescent="0.25">
      <c r="A248" s="2">
        <f>IF(BD_Versos[[#This Row],[Tema_Principal]]="","",ROW(BD_Versos[[#This Row],[Tema_Principal]])-1)</f>
        <v>247</v>
      </c>
      <c r="B248" s="3" t="s">
        <v>347</v>
      </c>
      <c r="C248" s="2" t="s">
        <v>573</v>
      </c>
      <c r="D248" s="4" t="s">
        <v>39</v>
      </c>
      <c r="E248" s="4">
        <v>6</v>
      </c>
      <c r="F248" s="5" t="s">
        <v>137</v>
      </c>
      <c r="G248" s="6" t="s">
        <v>603</v>
      </c>
      <c r="H248" s="4">
        <f t="shared" ref="H248" si="40">A249</f>
        <v>248</v>
      </c>
      <c r="K248" s="4"/>
      <c r="L248" s="4"/>
    </row>
    <row r="249" spans="1:12" ht="60" x14ac:dyDescent="0.25">
      <c r="A249" s="2">
        <f>IF(BD_Versos[[#This Row],[Tema_Principal]]="","",ROW(BD_Versos[[#This Row],[Tema_Principal]])-1)</f>
        <v>248</v>
      </c>
      <c r="B249" s="3" t="s">
        <v>347</v>
      </c>
      <c r="C249" s="2" t="s">
        <v>573</v>
      </c>
      <c r="D249" s="4" t="s">
        <v>39</v>
      </c>
      <c r="E249" s="4">
        <v>3</v>
      </c>
      <c r="F249" s="5" t="s">
        <v>118</v>
      </c>
      <c r="G249" s="6" t="s">
        <v>561</v>
      </c>
      <c r="I249" s="4">
        <f t="shared" ref="I249" si="41">A248</f>
        <v>247</v>
      </c>
      <c r="K249" s="4"/>
      <c r="L249" s="4"/>
    </row>
    <row r="250" spans="1:12" ht="45" x14ac:dyDescent="0.25">
      <c r="A250" s="2">
        <f>IF(BD_Versos[[#This Row],[Tema_Principal]]="","",ROW(BD_Versos[[#This Row],[Tema_Principal]])-1)</f>
        <v>249</v>
      </c>
      <c r="B250" s="3" t="s">
        <v>347</v>
      </c>
      <c r="C250" s="2" t="s">
        <v>567</v>
      </c>
      <c r="D250" s="4" t="s">
        <v>92</v>
      </c>
      <c r="E250" s="4">
        <v>15</v>
      </c>
      <c r="F250" s="5" t="s">
        <v>43</v>
      </c>
      <c r="G250" s="6" t="s">
        <v>604</v>
      </c>
      <c r="H250" s="4">
        <f t="shared" ref="H250" si="42">A251</f>
        <v>250</v>
      </c>
      <c r="K250" s="4"/>
      <c r="L250" s="4"/>
    </row>
    <row r="251" spans="1:12" ht="71.25" customHeight="1" x14ac:dyDescent="0.25">
      <c r="A251" s="2">
        <f>IF(BD_Versos[[#This Row],[Tema_Principal]]="","",ROW(BD_Versos[[#This Row],[Tema_Principal]])-1)</f>
        <v>250</v>
      </c>
      <c r="B251" s="3" t="s">
        <v>347</v>
      </c>
      <c r="C251" s="2" t="s">
        <v>567</v>
      </c>
      <c r="D251" s="4" t="s">
        <v>92</v>
      </c>
      <c r="E251" s="4">
        <v>15</v>
      </c>
      <c r="F251" s="5" t="s">
        <v>124</v>
      </c>
      <c r="G251" s="6" t="s">
        <v>605</v>
      </c>
      <c r="H251" s="4">
        <f>A252</f>
        <v>251</v>
      </c>
      <c r="I251" s="4">
        <f t="shared" ref="I251:I254" si="43">A250</f>
        <v>249</v>
      </c>
      <c r="K251" s="4"/>
      <c r="L251" s="4"/>
    </row>
    <row r="252" spans="1:12" ht="75" x14ac:dyDescent="0.25">
      <c r="A252" s="2">
        <f>IF(BD_Versos[[#This Row],[Tema_Principal]]="","",ROW(BD_Versos[[#This Row],[Tema_Principal]])-1)</f>
        <v>251</v>
      </c>
      <c r="B252" s="3" t="s">
        <v>347</v>
      </c>
      <c r="C252" s="2" t="s">
        <v>567</v>
      </c>
      <c r="D252" s="4" t="s">
        <v>18</v>
      </c>
      <c r="E252" s="4">
        <v>2</v>
      </c>
      <c r="F252" s="5" t="s">
        <v>49</v>
      </c>
      <c r="G252" s="6" t="s">
        <v>606</v>
      </c>
      <c r="H252" s="4">
        <f>A253</f>
        <v>252</v>
      </c>
      <c r="I252" s="4">
        <f t="shared" si="43"/>
        <v>250</v>
      </c>
      <c r="K252" s="4"/>
      <c r="L252" s="4"/>
    </row>
    <row r="253" spans="1:12" ht="60" x14ac:dyDescent="0.25">
      <c r="A253" s="2">
        <f>IF(BD_Versos[[#This Row],[Tema_Principal]]="","",ROW(BD_Versos[[#This Row],[Tema_Principal]])-1)</f>
        <v>252</v>
      </c>
      <c r="B253" s="3" t="s">
        <v>347</v>
      </c>
      <c r="C253" s="2" t="s">
        <v>567</v>
      </c>
      <c r="D253" s="4" t="s">
        <v>18</v>
      </c>
      <c r="E253" s="4">
        <v>2</v>
      </c>
      <c r="F253" s="5" t="s">
        <v>43</v>
      </c>
      <c r="G253" s="6" t="s">
        <v>607</v>
      </c>
      <c r="H253" s="4">
        <f>A254</f>
        <v>253</v>
      </c>
      <c r="I253" s="4">
        <f t="shared" si="43"/>
        <v>251</v>
      </c>
      <c r="K253" s="4"/>
      <c r="L253" s="4"/>
    </row>
    <row r="254" spans="1:12" ht="38.25" customHeight="1" x14ac:dyDescent="0.25">
      <c r="A254" s="2">
        <f>IF(BD_Versos[[#This Row],[Tema_Principal]]="","",ROW(BD_Versos[[#This Row],[Tema_Principal]])-1)</f>
        <v>253</v>
      </c>
      <c r="B254" s="3" t="s">
        <v>347</v>
      </c>
      <c r="C254" s="2" t="s">
        <v>567</v>
      </c>
      <c r="D254" s="4" t="s">
        <v>39</v>
      </c>
      <c r="E254" s="4">
        <v>3</v>
      </c>
      <c r="F254" s="5" t="s">
        <v>34</v>
      </c>
      <c r="G254" s="6" t="s">
        <v>608</v>
      </c>
      <c r="I254" s="4">
        <f t="shared" si="43"/>
        <v>252</v>
      </c>
      <c r="K254" s="4"/>
      <c r="L254" s="4"/>
    </row>
    <row r="255" spans="1:12" ht="60" x14ac:dyDescent="0.25">
      <c r="A255" s="2">
        <f>IF(BD_Versos[[#This Row],[Tema_Principal]]="","",ROW(BD_Versos[[#This Row],[Tema_Principal]])-1)</f>
        <v>254</v>
      </c>
      <c r="B255" s="3" t="s">
        <v>347</v>
      </c>
      <c r="C255" s="2" t="s">
        <v>580</v>
      </c>
      <c r="D255" s="4" t="s">
        <v>50</v>
      </c>
      <c r="E255" s="4">
        <v>11</v>
      </c>
      <c r="F255" s="5" t="s">
        <v>35</v>
      </c>
      <c r="G255" s="6" t="s">
        <v>609</v>
      </c>
      <c r="H255" s="4">
        <f t="shared" ref="H255" si="44">A256</f>
        <v>255</v>
      </c>
      <c r="K255" s="4"/>
      <c r="L255" s="4"/>
    </row>
    <row r="256" spans="1:12" ht="90" x14ac:dyDescent="0.25">
      <c r="A256" s="2">
        <f>IF(BD_Versos[[#This Row],[Tema_Principal]]="","",ROW(BD_Versos[[#This Row],[Tema_Principal]])-1)</f>
        <v>255</v>
      </c>
      <c r="B256" s="3" t="s">
        <v>347</v>
      </c>
      <c r="C256" s="2" t="s">
        <v>580</v>
      </c>
      <c r="D256" s="4" t="s">
        <v>33</v>
      </c>
      <c r="E256" s="4">
        <v>4</v>
      </c>
      <c r="F256" s="5" t="s">
        <v>582</v>
      </c>
      <c r="G256" s="6" t="s">
        <v>610</v>
      </c>
      <c r="I256" s="4">
        <f t="shared" ref="I256" si="45">A255</f>
        <v>254</v>
      </c>
      <c r="K256" s="4"/>
      <c r="L256" s="4"/>
    </row>
    <row r="257" spans="1:12" ht="30" x14ac:dyDescent="0.25">
      <c r="A257" s="2">
        <f>IF(BD_Versos[[#This Row],[Tema_Principal]]="","",ROW(BD_Versos[[#This Row],[Tema_Principal]])-1)</f>
        <v>256</v>
      </c>
      <c r="B257" s="3" t="s">
        <v>347</v>
      </c>
      <c r="C257" s="2" t="s">
        <v>569</v>
      </c>
      <c r="D257" s="4" t="s">
        <v>36</v>
      </c>
      <c r="E257" s="4">
        <v>4</v>
      </c>
      <c r="F257" s="5" t="s">
        <v>38</v>
      </c>
      <c r="G257" s="6" t="s">
        <v>611</v>
      </c>
      <c r="H257" s="4">
        <f t="shared" ref="H257" si="46">A258</f>
        <v>257</v>
      </c>
      <c r="K257" s="4"/>
      <c r="L257" s="4"/>
    </row>
    <row r="258" spans="1:12" ht="60" x14ac:dyDescent="0.25">
      <c r="A258" s="2">
        <f>IF(BD_Versos[[#This Row],[Tema_Principal]]="","",ROW(BD_Versos[[#This Row],[Tema_Principal]])-1)</f>
        <v>257</v>
      </c>
      <c r="B258" s="3" t="s">
        <v>347</v>
      </c>
      <c r="C258" s="2" t="s">
        <v>569</v>
      </c>
      <c r="D258" s="4" t="s">
        <v>36</v>
      </c>
      <c r="E258" s="4">
        <v>4</v>
      </c>
      <c r="F258" s="5" t="s">
        <v>122</v>
      </c>
      <c r="G258" s="6" t="s">
        <v>612</v>
      </c>
      <c r="H258" s="4">
        <f t="shared" ref="H258" si="47">A259</f>
        <v>258</v>
      </c>
      <c r="I258" s="4">
        <f t="shared" ref="I258:I259" si="48">A257</f>
        <v>256</v>
      </c>
      <c r="K258" s="4"/>
      <c r="L258" s="4"/>
    </row>
    <row r="259" spans="1:12" ht="135" x14ac:dyDescent="0.25">
      <c r="A259" s="2">
        <f>IF(BD_Versos[[#This Row],[Tema_Principal]]="","",ROW(BD_Versos[[#This Row],[Tema_Principal]])-1)</f>
        <v>258</v>
      </c>
      <c r="B259" s="3" t="s">
        <v>347</v>
      </c>
      <c r="C259" s="2" t="s">
        <v>569</v>
      </c>
      <c r="D259" s="4" t="s">
        <v>40</v>
      </c>
      <c r="E259" s="4">
        <v>1</v>
      </c>
      <c r="F259" s="5" t="s">
        <v>576</v>
      </c>
      <c r="G259" s="6" t="s">
        <v>613</v>
      </c>
      <c r="I259" s="4">
        <f t="shared" si="48"/>
        <v>257</v>
      </c>
      <c r="K259" s="4"/>
      <c r="L259" s="4"/>
    </row>
    <row r="260" spans="1:12" ht="105" x14ac:dyDescent="0.25">
      <c r="A260" s="2">
        <f>IF(BD_Versos[[#This Row],[Tema_Principal]]="","",ROW(BD_Versos[[#This Row],[Tema_Principal]])-1)</f>
        <v>259</v>
      </c>
      <c r="B260" s="3" t="s">
        <v>347</v>
      </c>
      <c r="C260" s="2" t="s">
        <v>574</v>
      </c>
      <c r="D260" s="4" t="s">
        <v>20</v>
      </c>
      <c r="E260" s="4">
        <v>1</v>
      </c>
      <c r="F260" s="5" t="s">
        <v>575</v>
      </c>
      <c r="G260" s="6" t="s">
        <v>614</v>
      </c>
      <c r="H260" s="4">
        <f t="shared" ref="H260:H261" si="49">A261</f>
        <v>260</v>
      </c>
      <c r="K260" s="4"/>
      <c r="L260" s="4"/>
    </row>
    <row r="261" spans="1:12" ht="90" x14ac:dyDescent="0.25">
      <c r="A261" s="2">
        <f>IF(BD_Versos[[#This Row],[Tema_Principal]]="","",ROW(BD_Versos[[#This Row],[Tema_Principal]])-1)</f>
        <v>260</v>
      </c>
      <c r="B261" s="3" t="s">
        <v>347</v>
      </c>
      <c r="C261" s="2" t="s">
        <v>574</v>
      </c>
      <c r="D261" s="4" t="s">
        <v>94</v>
      </c>
      <c r="E261" s="4">
        <v>1</v>
      </c>
      <c r="F261" s="5" t="s">
        <v>298</v>
      </c>
      <c r="G261" s="6" t="s">
        <v>615</v>
      </c>
      <c r="H261" s="4">
        <f t="shared" si="49"/>
        <v>261</v>
      </c>
      <c r="I261" s="4">
        <f t="shared" ref="I261:I262" si="50">A260</f>
        <v>259</v>
      </c>
      <c r="K261" s="4"/>
      <c r="L261" s="4"/>
    </row>
    <row r="262" spans="1:12" ht="60" x14ac:dyDescent="0.25">
      <c r="A262" s="2">
        <f>IF(BD_Versos[[#This Row],[Tema_Principal]]="","",ROW(BD_Versos[[#This Row],[Tema_Principal]])-1)</f>
        <v>261</v>
      </c>
      <c r="B262" s="3" t="s">
        <v>347</v>
      </c>
      <c r="C262" s="2" t="s">
        <v>574</v>
      </c>
      <c r="D262" s="4" t="s">
        <v>23</v>
      </c>
      <c r="E262" s="4">
        <v>1</v>
      </c>
      <c r="F262" s="5" t="s">
        <v>118</v>
      </c>
      <c r="G262" s="6" t="s">
        <v>599</v>
      </c>
      <c r="I262" s="4">
        <f t="shared" si="50"/>
        <v>260</v>
      </c>
      <c r="K262" s="4"/>
      <c r="L262" s="4"/>
    </row>
    <row r="263" spans="1:12" ht="45" x14ac:dyDescent="0.25">
      <c r="A263" s="2">
        <f>IF(BD_Versos[[#This Row],[Tema_Principal]]="","",ROW(BD_Versos[[#This Row],[Tema_Principal]])-1)</f>
        <v>262</v>
      </c>
      <c r="B263" s="3" t="s">
        <v>347</v>
      </c>
      <c r="C263" s="2" t="s">
        <v>578</v>
      </c>
      <c r="D263" s="4" t="s">
        <v>23</v>
      </c>
      <c r="E263" s="4">
        <v>2</v>
      </c>
      <c r="F263" s="5" t="s">
        <v>118</v>
      </c>
      <c r="G263" s="6" t="s">
        <v>616</v>
      </c>
      <c r="H263" s="4">
        <f t="shared" ref="H263:H267" si="51">A264</f>
        <v>263</v>
      </c>
      <c r="K263" s="4"/>
      <c r="L263" s="4"/>
    </row>
    <row r="264" spans="1:12" ht="60" x14ac:dyDescent="0.25">
      <c r="A264" s="2">
        <f>IF(BD_Versos[[#This Row],[Tema_Principal]]="","",ROW(BD_Versos[[#This Row],[Tema_Principal]])-1)</f>
        <v>263</v>
      </c>
      <c r="B264" s="3" t="s">
        <v>347</v>
      </c>
      <c r="C264" s="2" t="s">
        <v>578</v>
      </c>
      <c r="D264" s="4" t="s">
        <v>23</v>
      </c>
      <c r="E264" s="4">
        <v>1</v>
      </c>
      <c r="F264" s="5" t="s">
        <v>119</v>
      </c>
      <c r="G264" s="6" t="s">
        <v>617</v>
      </c>
      <c r="H264" s="4">
        <f t="shared" si="51"/>
        <v>264</v>
      </c>
      <c r="I264" s="4">
        <f t="shared" ref="I264:I268" si="52">A263</f>
        <v>262</v>
      </c>
      <c r="K264" s="4"/>
      <c r="L264" s="4"/>
    </row>
    <row r="265" spans="1:12" ht="45" x14ac:dyDescent="0.25">
      <c r="A265" s="2">
        <f>IF(BD_Versos[[#This Row],[Tema_Principal]]="","",ROW(BD_Versos[[#This Row],[Tema_Principal]])-1)</f>
        <v>264</v>
      </c>
      <c r="B265" s="3" t="s">
        <v>347</v>
      </c>
      <c r="C265" s="2" t="s">
        <v>578</v>
      </c>
      <c r="D265" s="4" t="s">
        <v>100</v>
      </c>
      <c r="E265" s="4">
        <v>1</v>
      </c>
      <c r="F265" s="5" t="s">
        <v>138</v>
      </c>
      <c r="G265" s="6" t="s">
        <v>618</v>
      </c>
      <c r="H265" s="4">
        <f t="shared" si="51"/>
        <v>265</v>
      </c>
      <c r="I265" s="4">
        <f t="shared" si="52"/>
        <v>263</v>
      </c>
      <c r="K265" s="4"/>
      <c r="L265" s="4"/>
    </row>
    <row r="266" spans="1:12" ht="60" x14ac:dyDescent="0.25">
      <c r="A266" s="2">
        <f>IF(BD_Versos[[#This Row],[Tema_Principal]]="","",ROW(BD_Versos[[#This Row],[Tema_Principal]])-1)</f>
        <v>265</v>
      </c>
      <c r="B266" s="3" t="s">
        <v>347</v>
      </c>
      <c r="C266" s="2" t="s">
        <v>578</v>
      </c>
      <c r="D266" s="4" t="s">
        <v>100</v>
      </c>
      <c r="E266" s="4">
        <v>4</v>
      </c>
      <c r="F266" s="5" t="s">
        <v>34</v>
      </c>
      <c r="G266" s="6" t="s">
        <v>619</v>
      </c>
      <c r="H266" s="4">
        <f t="shared" si="51"/>
        <v>266</v>
      </c>
      <c r="I266" s="4">
        <f t="shared" si="52"/>
        <v>264</v>
      </c>
      <c r="K266" s="4"/>
      <c r="L266" s="4"/>
    </row>
    <row r="267" spans="1:12" ht="75" x14ac:dyDescent="0.25">
      <c r="A267" s="2">
        <f>IF(BD_Versos[[#This Row],[Tema_Principal]]="","",ROW(BD_Versos[[#This Row],[Tema_Principal]])-1)</f>
        <v>266</v>
      </c>
      <c r="B267" s="3" t="s">
        <v>347</v>
      </c>
      <c r="C267" s="2" t="s">
        <v>578</v>
      </c>
      <c r="D267" s="4" t="s">
        <v>42</v>
      </c>
      <c r="E267" s="4">
        <v>14</v>
      </c>
      <c r="F267" s="5" t="s">
        <v>34</v>
      </c>
      <c r="G267" s="6" t="s">
        <v>620</v>
      </c>
      <c r="H267" s="4">
        <f t="shared" si="51"/>
        <v>267</v>
      </c>
      <c r="I267" s="4">
        <f t="shared" si="52"/>
        <v>265</v>
      </c>
      <c r="K267" s="4"/>
      <c r="L267" s="4"/>
    </row>
    <row r="268" spans="1:12" ht="30" x14ac:dyDescent="0.25">
      <c r="A268" s="2">
        <f>IF(BD_Versos[[#This Row],[Tema_Principal]]="","",ROW(BD_Versos[[#This Row],[Tema_Principal]])-1)</f>
        <v>267</v>
      </c>
      <c r="B268" s="3" t="s">
        <v>347</v>
      </c>
      <c r="C268" s="2" t="s">
        <v>578</v>
      </c>
      <c r="D268" s="4" t="s">
        <v>30</v>
      </c>
      <c r="E268" s="4">
        <v>16</v>
      </c>
      <c r="F268" s="5" t="s">
        <v>124</v>
      </c>
      <c r="G268" s="6" t="s">
        <v>621</v>
      </c>
      <c r="I268" s="4">
        <f t="shared" si="52"/>
        <v>266</v>
      </c>
      <c r="K268" s="4"/>
      <c r="L268" s="4"/>
    </row>
    <row r="269" spans="1:12" ht="30" x14ac:dyDescent="0.25">
      <c r="A269" s="2">
        <f>IF(BD_Versos[[#This Row],[Tema_Principal]]="","",ROW(BD_Versos[[#This Row],[Tema_Principal]])-1)</f>
        <v>268</v>
      </c>
      <c r="B269" s="3" t="s">
        <v>347</v>
      </c>
      <c r="C269" s="2" t="s">
        <v>577</v>
      </c>
      <c r="D269" s="4" t="s">
        <v>30</v>
      </c>
      <c r="E269" s="4">
        <v>16</v>
      </c>
      <c r="F269" s="5" t="s">
        <v>31</v>
      </c>
      <c r="G269" s="6" t="s">
        <v>622</v>
      </c>
      <c r="H269" s="4">
        <f t="shared" ref="H269:H274" si="53">A270</f>
        <v>269</v>
      </c>
      <c r="K269" s="4"/>
      <c r="L269" s="4"/>
    </row>
    <row r="270" spans="1:12" ht="30" x14ac:dyDescent="0.25">
      <c r="A270" s="2">
        <f>IF(BD_Versos[[#This Row],[Tema_Principal]]="","",ROW(BD_Versos[[#This Row],[Tema_Principal]])-1)</f>
        <v>269</v>
      </c>
      <c r="B270" s="3" t="s">
        <v>347</v>
      </c>
      <c r="C270" s="2" t="s">
        <v>577</v>
      </c>
      <c r="D270" s="4" t="s">
        <v>96</v>
      </c>
      <c r="E270" s="4">
        <v>1</v>
      </c>
      <c r="F270" s="5" t="s">
        <v>37</v>
      </c>
      <c r="G270" s="6" t="s">
        <v>623</v>
      </c>
      <c r="H270" s="4">
        <f>A272</f>
        <v>271</v>
      </c>
      <c r="I270" s="4">
        <f t="shared" ref="I270:I274" si="54">A269</f>
        <v>268</v>
      </c>
      <c r="K270" s="4"/>
      <c r="L270" s="4"/>
    </row>
    <row r="271" spans="1:12" ht="45" x14ac:dyDescent="0.25">
      <c r="A271" s="2">
        <f>IF(BD_Versos[[#This Row],[Tema_Principal]]="","",ROW(BD_Versos[[#This Row],[Tema_Principal]])-1)</f>
        <v>270</v>
      </c>
      <c r="B271" s="3" t="s">
        <v>347</v>
      </c>
      <c r="C271" s="2" t="s">
        <v>577</v>
      </c>
      <c r="D271" s="4" t="s">
        <v>95</v>
      </c>
      <c r="E271" s="4">
        <v>3</v>
      </c>
      <c r="F271" s="5" t="s">
        <v>49</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K271" s="4"/>
      <c r="L271" s="4"/>
    </row>
    <row r="272" spans="1:12" ht="60" x14ac:dyDescent="0.25">
      <c r="A272" s="2">
        <f>IF(BD_Versos[[#This Row],[Tema_Principal]]="","",ROW(BD_Versos[[#This Row],[Tema_Principal]])-1)</f>
        <v>271</v>
      </c>
      <c r="B272" s="3" t="s">
        <v>347</v>
      </c>
      <c r="C272" s="2" t="s">
        <v>577</v>
      </c>
      <c r="D272" s="4" t="s">
        <v>39</v>
      </c>
      <c r="E272" s="4">
        <v>3</v>
      </c>
      <c r="F272" s="5" t="s">
        <v>118</v>
      </c>
      <c r="G272" s="6" t="s">
        <v>561</v>
      </c>
      <c r="H272" s="4">
        <f t="shared" si="53"/>
        <v>272</v>
      </c>
      <c r="I272" s="4">
        <f>A270</f>
        <v>269</v>
      </c>
      <c r="K272" s="4"/>
      <c r="L272" s="4"/>
    </row>
    <row r="273" spans="1:12" ht="45" x14ac:dyDescent="0.25">
      <c r="A273" s="2">
        <f>IF(BD_Versos[[#This Row],[Tema_Principal]]="","",ROW(BD_Versos[[#This Row],[Tema_Principal]])-1)</f>
        <v>272</v>
      </c>
      <c r="B273" s="3" t="s">
        <v>347</v>
      </c>
      <c r="C273" s="2" t="s">
        <v>577</v>
      </c>
      <c r="D273" s="4" t="s">
        <v>579</v>
      </c>
      <c r="E273" s="4">
        <v>1</v>
      </c>
      <c r="F273" s="5" t="s">
        <v>113</v>
      </c>
      <c r="G273" s="6" t="s">
        <v>624</v>
      </c>
      <c r="H273" s="4">
        <f t="shared" si="53"/>
        <v>273</v>
      </c>
      <c r="I273" s="4">
        <f t="shared" si="54"/>
        <v>271</v>
      </c>
      <c r="K273" s="4"/>
      <c r="L273" s="4"/>
    </row>
    <row r="274" spans="1:12" ht="90" x14ac:dyDescent="0.25">
      <c r="A274" s="2">
        <f>IF(BD_Versos[[#This Row],[Tema_Principal]]="","",ROW(BD_Versos[[#This Row],[Tema_Principal]])-1)</f>
        <v>273</v>
      </c>
      <c r="B274" s="3" t="s">
        <v>347</v>
      </c>
      <c r="C274" s="2" t="s">
        <v>577</v>
      </c>
      <c r="D274" s="4" t="s">
        <v>100</v>
      </c>
      <c r="E274" s="4">
        <v>1</v>
      </c>
      <c r="F274" s="5" t="s">
        <v>110</v>
      </c>
      <c r="G274" s="6" t="s">
        <v>625</v>
      </c>
      <c r="H274" s="4">
        <f t="shared" si="53"/>
        <v>274</v>
      </c>
      <c r="I274" s="4">
        <f t="shared" si="54"/>
        <v>272</v>
      </c>
      <c r="K274" s="4"/>
      <c r="L274" s="4"/>
    </row>
    <row r="275" spans="1:12" ht="135" x14ac:dyDescent="0.25">
      <c r="A275" s="2">
        <f>IF(BD_Versos[[#This Row],[Tema_Principal]]="","",ROW(BD_Versos[[#This Row],[Tema_Principal]])-1)</f>
        <v>274</v>
      </c>
      <c r="B275" s="3" t="s">
        <v>347</v>
      </c>
      <c r="C275" s="2" t="s">
        <v>577</v>
      </c>
      <c r="D275" s="4" t="s">
        <v>36</v>
      </c>
      <c r="E275" s="4">
        <v>5</v>
      </c>
      <c r="F275" s="5" t="s">
        <v>582</v>
      </c>
      <c r="G275" s="6" t="s">
        <v>626</v>
      </c>
      <c r="H275" s="4">
        <f t="shared" ref="H275" si="55">A276</f>
        <v>275</v>
      </c>
      <c r="I275" s="4">
        <f t="shared" ref="I275:I276" si="56">A274</f>
        <v>273</v>
      </c>
      <c r="K275" s="4"/>
      <c r="L275" s="4"/>
    </row>
    <row r="276" spans="1:12" ht="45" x14ac:dyDescent="0.25">
      <c r="A276" s="2">
        <f>IF(BD_Versos[[#This Row],[Tema_Principal]]="","",ROW(BD_Versos[[#This Row],[Tema_Principal]])-1)</f>
        <v>275</v>
      </c>
      <c r="B276" s="3" t="s">
        <v>347</v>
      </c>
      <c r="C276" s="2" t="s">
        <v>577</v>
      </c>
      <c r="D276" s="4" t="s">
        <v>92</v>
      </c>
      <c r="E276" s="4">
        <v>10</v>
      </c>
      <c r="F276" s="5" t="s">
        <v>31</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f t="shared" si="56"/>
        <v>274</v>
      </c>
      <c r="K276" s="4"/>
      <c r="L276" s="4"/>
    </row>
    <row r="277" spans="1:12" ht="60" customHeight="1" x14ac:dyDescent="0.25">
      <c r="A277" s="2">
        <f>IF(BD_Versos[[#This Row],[Tema_Principal]]="","",ROW(BD_Versos[[#This Row],[Tema_Principal]])-1)</f>
        <v>276</v>
      </c>
      <c r="B277" s="3" t="s">
        <v>347</v>
      </c>
      <c r="C277" s="14" t="s">
        <v>583</v>
      </c>
      <c r="D277" s="4" t="s">
        <v>92</v>
      </c>
      <c r="E277" s="4">
        <v>15</v>
      </c>
      <c r="F277" s="5" t="s">
        <v>117</v>
      </c>
      <c r="G277" s="6" t="s">
        <v>553</v>
      </c>
      <c r="K277" s="4"/>
      <c r="L277" s="4"/>
    </row>
    <row r="278" spans="1:12" ht="105" x14ac:dyDescent="0.25">
      <c r="A278" s="2">
        <f>IF(BD_Versos[[#This Row],[Tema_Principal]]="","",ROW(BD_Versos[[#This Row],[Tema_Principal]])-1)</f>
        <v>277</v>
      </c>
      <c r="B278" s="3" t="s">
        <v>347</v>
      </c>
      <c r="C278" s="2" t="s">
        <v>584</v>
      </c>
      <c r="D278" s="4" t="s">
        <v>290</v>
      </c>
      <c r="E278" s="4">
        <v>61</v>
      </c>
      <c r="F278" s="5" t="s">
        <v>28</v>
      </c>
      <c r="G278" s="6" t="s">
        <v>632</v>
      </c>
      <c r="K278" s="4"/>
      <c r="L278" s="4"/>
    </row>
    <row r="279" spans="1:12" ht="105" x14ac:dyDescent="0.25">
      <c r="A279" s="2">
        <f>IF(BD_Versos[[#This Row],[Tema_Principal]]="","",ROW(BD_Versos[[#This Row],[Tema_Principal]])-1)</f>
        <v>278</v>
      </c>
      <c r="B279" s="3" t="s">
        <v>347</v>
      </c>
      <c r="C279" s="2" t="s">
        <v>584</v>
      </c>
      <c r="D279" s="4" t="s">
        <v>33</v>
      </c>
      <c r="E279" s="4">
        <v>2</v>
      </c>
      <c r="F279" s="5" t="s">
        <v>585</v>
      </c>
      <c r="G279" s="6" t="s">
        <v>633</v>
      </c>
      <c r="K279" s="4"/>
      <c r="L279" s="4"/>
    </row>
    <row r="280" spans="1:12" ht="30" x14ac:dyDescent="0.25">
      <c r="A280" s="2">
        <f>IF(BD_Versos[[#This Row],[Tema_Principal]]="","",ROW(BD_Versos[[#This Row],[Tema_Principal]])-1)</f>
        <v>279</v>
      </c>
      <c r="B280" s="3" t="s">
        <v>347</v>
      </c>
      <c r="C280" s="2" t="s">
        <v>584</v>
      </c>
      <c r="D280" s="4" t="s">
        <v>72</v>
      </c>
      <c r="E280" s="4">
        <v>25</v>
      </c>
      <c r="F280" s="5" t="s">
        <v>138</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K280" s="4"/>
      <c r="L280" s="4"/>
    </row>
    <row r="281" spans="1:12" ht="90" x14ac:dyDescent="0.25">
      <c r="A281" s="2">
        <f>IF(BD_Versos[[#This Row],[Tema_Principal]]="","",ROW(BD_Versos[[#This Row],[Tema_Principal]])-1)</f>
        <v>280</v>
      </c>
      <c r="B281" s="3" t="s">
        <v>347</v>
      </c>
      <c r="C281" s="2" t="s">
        <v>584</v>
      </c>
      <c r="D281" s="4" t="s">
        <v>634</v>
      </c>
      <c r="E281" s="4">
        <v>1</v>
      </c>
      <c r="F281" s="5" t="s">
        <v>31</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K281" s="4"/>
      <c r="L281" s="4"/>
    </row>
    <row r="282" spans="1:12" ht="150" x14ac:dyDescent="0.25">
      <c r="A282" s="2">
        <f>IF(BD_Versos[[#This Row],[Tema_Principal]]="","",ROW(BD_Versos[[#This Row],[Tema_Principal]])-1)</f>
        <v>281</v>
      </c>
      <c r="B282" s="3" t="s">
        <v>347</v>
      </c>
      <c r="C282" s="2" t="s">
        <v>584</v>
      </c>
      <c r="D282" s="4" t="s">
        <v>33</v>
      </c>
      <c r="E282" s="4">
        <v>3</v>
      </c>
      <c r="F282" s="5" t="s">
        <v>635</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K282" s="4"/>
      <c r="L282" s="4"/>
    </row>
    <row r="283" spans="1:12" ht="75" x14ac:dyDescent="0.25">
      <c r="A283" s="2">
        <f>IF(BD_Versos[[#This Row],[Tema_Principal]]="","",ROW(BD_Versos[[#This Row],[Tema_Principal]])-1)</f>
        <v>282</v>
      </c>
      <c r="B283" s="3" t="s">
        <v>347</v>
      </c>
      <c r="C283" s="14" t="s">
        <v>565</v>
      </c>
      <c r="D283" s="4" t="s">
        <v>92</v>
      </c>
      <c r="E283" s="4">
        <v>16</v>
      </c>
      <c r="F283" s="5" t="s">
        <v>138</v>
      </c>
      <c r="G283" s="6" t="s">
        <v>627</v>
      </c>
      <c r="H283" s="4">
        <f t="shared" ref="H283" si="57">A284</f>
        <v>283</v>
      </c>
      <c r="K283" s="4"/>
      <c r="L283" s="4"/>
    </row>
    <row r="284" spans="1:12" ht="75" x14ac:dyDescent="0.25">
      <c r="A284" s="2">
        <f>IF(BD_Versos[[#This Row],[Tema_Principal]]="","",ROW(BD_Versos[[#This Row],[Tema_Principal]])-1)</f>
        <v>283</v>
      </c>
      <c r="B284" s="3" t="s">
        <v>347</v>
      </c>
      <c r="C284" s="14" t="s">
        <v>565</v>
      </c>
      <c r="D284" s="4" t="s">
        <v>95</v>
      </c>
      <c r="E284" s="4">
        <v>2</v>
      </c>
      <c r="F284" s="5" t="s">
        <v>122</v>
      </c>
      <c r="G284" s="6" t="s">
        <v>628</v>
      </c>
      <c r="I284" s="4">
        <f t="shared" ref="I284" si="58">A283</f>
        <v>282</v>
      </c>
      <c r="K284" s="4"/>
      <c r="L284" s="4"/>
    </row>
    <row r="285" spans="1:12" ht="45" x14ac:dyDescent="0.25">
      <c r="A285" s="2">
        <f>IF(BD_Versos[[#This Row],[Tema_Principal]]="","",ROW(BD_Versos[[#This Row],[Tema_Principal]])-1)</f>
        <v>284</v>
      </c>
      <c r="B285" s="3" t="s">
        <v>347</v>
      </c>
      <c r="C285" s="2" t="s">
        <v>581</v>
      </c>
      <c r="D285" s="4" t="s">
        <v>50</v>
      </c>
      <c r="E285" s="4">
        <v>24</v>
      </c>
      <c r="F285" s="5" t="s">
        <v>47</v>
      </c>
      <c r="G285" s="6" t="s">
        <v>631</v>
      </c>
      <c r="K285" s="4"/>
      <c r="L285" s="4"/>
    </row>
    <row r="286" spans="1:12" ht="60" x14ac:dyDescent="0.25">
      <c r="A286" s="2">
        <f>IF(BD_Versos[[#This Row],[Tema_Principal]]="","",ROW(BD_Versos[[#This Row],[Tema_Principal]])-1)</f>
        <v>285</v>
      </c>
      <c r="B286" s="3" t="s">
        <v>347</v>
      </c>
      <c r="C286" s="2" t="s">
        <v>541</v>
      </c>
      <c r="D286" s="4" t="s">
        <v>18</v>
      </c>
      <c r="E286" s="4">
        <v>1</v>
      </c>
      <c r="F286" s="5" t="s">
        <v>34</v>
      </c>
      <c r="G286" s="6" t="s">
        <v>564</v>
      </c>
      <c r="H286" s="4">
        <f>A287</f>
        <v>286</v>
      </c>
      <c r="K286" s="4"/>
      <c r="L286" s="4"/>
    </row>
    <row r="287" spans="1:12" ht="45" x14ac:dyDescent="0.25">
      <c r="A287" s="2">
        <f>IF(BD_Versos[[#This Row],[Tema_Principal]]="","",ROW(BD_Versos[[#This Row],[Tema_Principal]])-1)</f>
        <v>286</v>
      </c>
      <c r="B287" s="3" t="s">
        <v>347</v>
      </c>
      <c r="C287" s="2" t="s">
        <v>541</v>
      </c>
      <c r="D287" s="4" t="s">
        <v>18</v>
      </c>
      <c r="E287" s="4">
        <v>1</v>
      </c>
      <c r="F287" s="5" t="s">
        <v>43</v>
      </c>
      <c r="G287" s="6" t="s">
        <v>592</v>
      </c>
      <c r="H287" s="4">
        <f>A288</f>
        <v>287</v>
      </c>
      <c r="I287" s="4">
        <f>A286</f>
        <v>285</v>
      </c>
      <c r="K287" s="4"/>
      <c r="L287" s="4"/>
    </row>
    <row r="288" spans="1:12" ht="90" x14ac:dyDescent="0.25">
      <c r="A288" s="2">
        <f>IF(BD_Versos[[#This Row],[Tema_Principal]]="","",ROW(BD_Versos[[#This Row],[Tema_Principal]])-1)</f>
        <v>287</v>
      </c>
      <c r="B288" s="3" t="s">
        <v>347</v>
      </c>
      <c r="C288" s="2" t="s">
        <v>541</v>
      </c>
      <c r="D288" s="4" t="s">
        <v>18</v>
      </c>
      <c r="E288" s="4">
        <v>1</v>
      </c>
      <c r="F288" s="5" t="s">
        <v>570</v>
      </c>
      <c r="G288" s="6" t="s">
        <v>593</v>
      </c>
      <c r="H288" s="4">
        <f>A289</f>
        <v>288</v>
      </c>
      <c r="I288" s="4">
        <f>A287</f>
        <v>286</v>
      </c>
      <c r="K288" s="4"/>
      <c r="L288" s="4"/>
    </row>
    <row r="289" spans="1:12" ht="75" x14ac:dyDescent="0.25">
      <c r="A289" s="2">
        <f>IF(BD_Versos[[#This Row],[Tema_Principal]]="","",ROW(BD_Versos[[#This Row],[Tema_Principal]])-1)</f>
        <v>288</v>
      </c>
      <c r="B289" s="3" t="s">
        <v>347</v>
      </c>
      <c r="C289" s="2" t="s">
        <v>541</v>
      </c>
      <c r="D289" s="4" t="s">
        <v>36</v>
      </c>
      <c r="E289" s="4">
        <v>11</v>
      </c>
      <c r="F289" s="5" t="s">
        <v>122</v>
      </c>
      <c r="G289" s="6" t="s">
        <v>594</v>
      </c>
      <c r="H289" s="4">
        <f>A231</f>
        <v>230</v>
      </c>
      <c r="I289" s="4">
        <f>A288</f>
        <v>287</v>
      </c>
      <c r="K289" s="4"/>
      <c r="L289" s="4"/>
    </row>
    <row r="290" spans="1:12" x14ac:dyDescent="0.25">
      <c r="A290" s="2" t="str">
        <f>IF(BD_Versos[[#This Row],[Tema_Principal]]="","",ROW(BD_Versos[[#This Row],[Tema_Principal]])-1)</f>
        <v/>
      </c>
      <c r="G290" s="6" t="str" cm="1">
        <f t="array" ref="G290">IF(OR(BD_Versos[[#This Row],[Libro]]="",BD_Versos[[#This Row],[Capítulo]]="",BD_Versos[[#This Row],[Versículo]]=""),"",ExtraerPasaje(_xlfn.CONCAT(BD_Versos[[#This Row],[Libro]],BD_Versos[[#This Row],[Capítulo]],":",BD_Versos[[#This Row],[Versículo]])))</f>
        <v/>
      </c>
      <c r="K290" s="4"/>
      <c r="L290" s="4"/>
    </row>
    <row r="291" spans="1:12" x14ac:dyDescent="0.25">
      <c r="A291" s="2" t="str">
        <f>IF(BD_Versos[[#This Row],[Tema_Principal]]="","",ROW(BD_Versos[[#This Row],[Tema_Principal]])-1)</f>
        <v/>
      </c>
      <c r="G291" s="6" t="str" cm="1">
        <f t="array" ref="G291">IF(OR(BD_Versos[[#This Row],[Libro]]="",BD_Versos[[#This Row],[Capítulo]]="",BD_Versos[[#This Row],[Versículo]]=""),"",ExtraerPasaje(_xlfn.CONCAT(BD_Versos[[#This Row],[Libro]],BD_Versos[[#This Row],[Capítulo]],":",BD_Versos[[#This Row],[Versículo]])))</f>
        <v/>
      </c>
      <c r="K291" s="4"/>
      <c r="L291" s="4"/>
    </row>
    <row r="292" spans="1:12" x14ac:dyDescent="0.25">
      <c r="A292" s="2" t="str">
        <f>IF(BD_Versos[[#This Row],[Tema_Principal]]="","",ROW(BD_Versos[[#This Row],[Tema_Principal]])-1)</f>
        <v/>
      </c>
      <c r="G292" s="6" t="str" cm="1">
        <f t="array" ref="G292">IF(OR(BD_Versos[[#This Row],[Libro]]="",BD_Versos[[#This Row],[Capítulo]]="",BD_Versos[[#This Row],[Versículo]]=""),"",ExtraerPasaje(_xlfn.CONCAT(BD_Versos[[#This Row],[Libro]],BD_Versos[[#This Row],[Capítulo]],":",BD_Versos[[#This Row],[Versículo]])))</f>
        <v/>
      </c>
      <c r="K292" s="4"/>
      <c r="L292" s="4"/>
    </row>
    <row r="293" spans="1:12" x14ac:dyDescent="0.25">
      <c r="A293" s="2" t="str">
        <f>IF(BD_Versos[[#This Row],[Tema_Principal]]="","",ROW(BD_Versos[[#This Row],[Tema_Principal]])-1)</f>
        <v/>
      </c>
      <c r="G293" s="6" t="str" cm="1">
        <f t="array" ref="G293">IF(OR(BD_Versos[[#This Row],[Libro]]="",BD_Versos[[#This Row],[Capítulo]]="",BD_Versos[[#This Row],[Versículo]]=""),"",ExtraerPasaje(_xlfn.CONCAT(BD_Versos[[#This Row],[Libro]],BD_Versos[[#This Row],[Capítulo]],":",BD_Versos[[#This Row],[Versículo]])))</f>
        <v/>
      </c>
      <c r="K293" s="4"/>
      <c r="L293" s="4"/>
    </row>
    <row r="294" spans="1:12" x14ac:dyDescent="0.25">
      <c r="A294" s="2" t="str">
        <f>IF(BD_Versos[[#This Row],[Tema_Principal]]="","",ROW(BD_Versos[[#This Row],[Tema_Principal]])-1)</f>
        <v/>
      </c>
      <c r="G294" s="6" t="str" cm="1">
        <f t="array" ref="G294">IF(OR(BD_Versos[[#This Row],[Libro]]="",BD_Versos[[#This Row],[Capítulo]]="",BD_Versos[[#This Row],[Versículo]]=""),"",ExtraerPasaje(_xlfn.CONCAT(BD_Versos[[#This Row],[Libro]],BD_Versos[[#This Row],[Capítulo]],":",BD_Versos[[#This Row],[Versículo]])))</f>
        <v/>
      </c>
      <c r="K294" s="4"/>
      <c r="L294" s="4"/>
    </row>
    <row r="295" spans="1:12" x14ac:dyDescent="0.25">
      <c r="A295" s="2" t="str">
        <f>IF(BD_Versos[[#This Row],[Tema_Principal]]="","",ROW(BD_Versos[[#This Row],[Tema_Principal]])-1)</f>
        <v/>
      </c>
      <c r="G295" s="6" t="str" cm="1">
        <f t="array" ref="G295">IF(OR(BD_Versos[[#This Row],[Libro]]="",BD_Versos[[#This Row],[Capítulo]]="",BD_Versos[[#This Row],[Versículo]]=""),"",ExtraerPasaje(_xlfn.CONCAT(BD_Versos[[#This Row],[Libro]],BD_Versos[[#This Row],[Capítulo]],":",BD_Versos[[#This Row],[Versículo]])))</f>
        <v/>
      </c>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K821" s="4"/>
      <c r="L821" s="4"/>
    </row>
    <row r="822" spans="1:12"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K822" s="4"/>
      <c r="L822" s="4"/>
    </row>
    <row r="823" spans="1:12"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K823" s="4"/>
      <c r="L823" s="4"/>
    </row>
    <row r="824" spans="1:12"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K824" s="4"/>
      <c r="L824" s="4"/>
    </row>
    <row r="825" spans="1:12"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K825" s="4"/>
      <c r="L825" s="4"/>
    </row>
    <row r="826" spans="1:12"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K826" s="4"/>
      <c r="L826" s="4"/>
    </row>
    <row r="827" spans="1:12"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K827" s="4"/>
      <c r="L827" s="4"/>
    </row>
    <row r="828" spans="1:12"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K828" s="4"/>
      <c r="L828" s="4"/>
    </row>
    <row r="829" spans="1:12"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K829" s="4"/>
      <c r="L829" s="4"/>
    </row>
    <row r="830" spans="1:12"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K830" s="4"/>
      <c r="L830" s="4"/>
    </row>
    <row r="831" spans="1:12"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K831" s="4"/>
      <c r="L831" s="4"/>
    </row>
    <row r="832" spans="1:12"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K832" s="4"/>
      <c r="L832" s="4"/>
    </row>
    <row r="833" spans="1:12"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K833" s="4"/>
      <c r="L833" s="4"/>
    </row>
    <row r="834" spans="1:12"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K834" s="4"/>
      <c r="L834" s="4"/>
    </row>
    <row r="835" spans="1:12"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K835" s="4"/>
      <c r="L835" s="4"/>
    </row>
    <row r="836" spans="1:12"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K836" s="4"/>
      <c r="L836" s="4"/>
    </row>
    <row r="837" spans="1:12"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K837" s="4"/>
      <c r="L837" s="4"/>
    </row>
    <row r="838" spans="1:12"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K838" s="4"/>
      <c r="L838" s="4"/>
    </row>
    <row r="839" spans="1:12"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K839" s="4"/>
      <c r="L839" s="4"/>
    </row>
    <row r="840" spans="1:12"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K840" s="4"/>
      <c r="L840" s="4"/>
    </row>
    <row r="841" spans="1:12"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K841" s="4"/>
      <c r="L84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D2:D277 D278:D841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2026-07-21T00:51:58Z</dcterms:modified>
  <cp:category/>
  <cp:contentStatus/>
</cp:coreProperties>
</file>