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441" documentId="8_{3B3D53F3-38FD-4322-88E2-8AF79EFFACD8}" xr6:coauthVersionLast="47" xr6:coauthVersionMax="47" xr10:uidLastSave="{715E2598-132B-4E57-9497-2576DF76D55A}"/>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71" i="1" l="1"/>
  <c r="G271" i="1" a="1"/>
  <c r="A284" i="1"/>
  <c r="H283" i="1"/>
  <c r="A283" i="1"/>
  <c r="I284" i="1" s="1"/>
  <c r="A227" i="1"/>
  <c r="G227" i="1" a="1"/>
  <c r="A276" i="1"/>
  <c r="H275" i="1" s="1"/>
  <c r="G276" i="1" a="1"/>
  <c r="A281" i="1"/>
  <c r="A277" i="1"/>
  <c r="A275" i="1"/>
  <c r="A269" i="1"/>
  <c r="I270" i="1" s="1"/>
  <c r="A268" i="1"/>
  <c r="H267" i="1" s="1"/>
  <c r="A256" i="1"/>
  <c r="H255" i="1" s="1"/>
  <c r="A255" i="1"/>
  <c r="I256" i="1" s="1"/>
  <c r="A274" i="1"/>
  <c r="I275" i="1" s="1"/>
  <c r="A273" i="1"/>
  <c r="A272" i="1"/>
  <c r="A244" i="1"/>
  <c r="H243" i="1" s="1"/>
  <c r="A262" i="1"/>
  <c r="H261" i="1" s="1"/>
  <c r="A259" i="1"/>
  <c r="H258" i="1" s="1"/>
  <c r="A243" i="1"/>
  <c r="A242" i="1"/>
  <c r="A261" i="1"/>
  <c r="A260" i="1"/>
  <c r="I261" i="1" s="1"/>
  <c r="A249" i="1"/>
  <c r="H248" i="1" s="1"/>
  <c r="A248" i="1"/>
  <c r="I249" i="1" s="1"/>
  <c r="A226" i="1"/>
  <c r="A254" i="1"/>
  <c r="H253" i="1" s="1"/>
  <c r="A253" i="1"/>
  <c r="A241" i="1"/>
  <c r="I242" i="1" s="1"/>
  <c r="A252" i="1"/>
  <c r="A238" i="1"/>
  <c r="A288" i="1"/>
  <c r="A289" i="1"/>
  <c r="A245" i="1"/>
  <c r="I246" i="1" s="1"/>
  <c r="A246" i="1"/>
  <c r="A247" i="1"/>
  <c r="H246" i="1" s="1"/>
  <c r="A237" i="1"/>
  <c r="A240" i="1"/>
  <c r="I241" i="1" s="1"/>
  <c r="A239" i="1"/>
  <c r="I240" i="1" s="1"/>
  <c r="A287" i="1"/>
  <c r="A229" i="1"/>
  <c r="A230" i="1"/>
  <c r="A231" i="1"/>
  <c r="A232" i="1"/>
  <c r="A234" i="1"/>
  <c r="H233" i="1" s="1"/>
  <c r="A233" i="1"/>
  <c r="A235" i="1"/>
  <c r="I236" i="1" s="1"/>
  <c r="A236" i="1"/>
  <c r="H235" i="1" s="1"/>
  <c r="A215" i="1"/>
  <c r="I216" i="1" s="1"/>
  <c r="A218" i="1"/>
  <c r="A219" i="1"/>
  <c r="H217" i="1" s="1"/>
  <c r="A216" i="1"/>
  <c r="I217" i="1" s="1"/>
  <c r="A217" i="1"/>
  <c r="H219" i="1" s="1"/>
  <c r="A220" i="1"/>
  <c r="A221" i="1"/>
  <c r="I222" i="1" s="1"/>
  <c r="A206" i="1"/>
  <c r="A207" i="1"/>
  <c r="I208" i="1" s="1"/>
  <c r="A208" i="1"/>
  <c r="A209" i="1"/>
  <c r="A210" i="1"/>
  <c r="I211" i="1" s="1"/>
  <c r="A211" i="1"/>
  <c r="A212" i="1"/>
  <c r="H211" i="1" s="1"/>
  <c r="A213" i="1"/>
  <c r="H212" i="1" s="1"/>
  <c r="A199" i="1"/>
  <c r="H198" i="1" s="1"/>
  <c r="A200" i="1"/>
  <c r="H199" i="1" s="1"/>
  <c r="A201" i="1"/>
  <c r="A202" i="1"/>
  <c r="A203" i="1"/>
  <c r="H202" i="1" s="1"/>
  <c r="A204" i="1"/>
  <c r="A205" i="1"/>
  <c r="A156" i="1"/>
  <c r="H155" i="1" s="1"/>
  <c r="A157" i="1"/>
  <c r="H156" i="1" s="1"/>
  <c r="A158" i="1"/>
  <c r="H157" i="1" s="1"/>
  <c r="A159" i="1"/>
  <c r="A160" i="1"/>
  <c r="A161" i="1"/>
  <c r="A162" i="1"/>
  <c r="H161" i="1" s="1"/>
  <c r="A163" i="1"/>
  <c r="A164" i="1"/>
  <c r="H163" i="1" s="1"/>
  <c r="A165" i="1"/>
  <c r="H164" i="1" s="1"/>
  <c r="A166" i="1"/>
  <c r="H165" i="1" s="1"/>
  <c r="A167" i="1"/>
  <c r="H166" i="1" s="1"/>
  <c r="A168" i="1"/>
  <c r="H167" i="1" s="1"/>
  <c r="A169" i="1"/>
  <c r="H168" i="1" s="1"/>
  <c r="A170" i="1"/>
  <c r="H169" i="1" s="1"/>
  <c r="A171" i="1"/>
  <c r="A172" i="1"/>
  <c r="I173" i="1" s="1"/>
  <c r="A173" i="1"/>
  <c r="A174" i="1"/>
  <c r="H173" i="1" s="1"/>
  <c r="A175" i="1"/>
  <c r="H174" i="1" s="1"/>
  <c r="A176" i="1"/>
  <c r="H175" i="1" s="1"/>
  <c r="A177" i="1"/>
  <c r="H176" i="1" s="1"/>
  <c r="A178" i="1"/>
  <c r="H177" i="1" s="1"/>
  <c r="A179" i="1"/>
  <c r="H178" i="1" s="1"/>
  <c r="A180" i="1"/>
  <c r="H179" i="1" s="1"/>
  <c r="A181" i="1"/>
  <c r="H180" i="1" s="1"/>
  <c r="A182" i="1"/>
  <c r="H181" i="1" s="1"/>
  <c r="A183" i="1"/>
  <c r="A184" i="1"/>
  <c r="H183" i="1" s="1"/>
  <c r="A185" i="1"/>
  <c r="A186" i="1"/>
  <c r="A187" i="1"/>
  <c r="H186" i="1" s="1"/>
  <c r="A188" i="1"/>
  <c r="H187" i="1" s="1"/>
  <c r="A189" i="1"/>
  <c r="H188" i="1" s="1"/>
  <c r="A190" i="1"/>
  <c r="H189" i="1" s="1"/>
  <c r="A191" i="1"/>
  <c r="H190" i="1" s="1"/>
  <c r="A192" i="1"/>
  <c r="H191" i="1" s="1"/>
  <c r="A193" i="1"/>
  <c r="H192" i="1" s="1"/>
  <c r="A194" i="1"/>
  <c r="H193" i="1" s="1"/>
  <c r="A195" i="1"/>
  <c r="A196" i="1"/>
  <c r="A197" i="1"/>
  <c r="A198" i="1"/>
  <c r="I199" i="1" s="1"/>
  <c r="C40" i="2"/>
  <c r="A149" i="1"/>
  <c r="I150" i="1" s="1"/>
  <c r="A150" i="1"/>
  <c r="H149" i="1" s="1"/>
  <c r="A151" i="1"/>
  <c r="H150" i="1" s="1"/>
  <c r="A152" i="1"/>
  <c r="H151" i="1" s="1"/>
  <c r="A153" i="1"/>
  <c r="I154" i="1" s="1"/>
  <c r="A154" i="1"/>
  <c r="A155" i="1"/>
  <c r="I144" i="1"/>
  <c r="I145" i="1" s="1"/>
  <c r="I146" i="1" s="1"/>
  <c r="I147" i="1" s="1"/>
  <c r="I148" i="1" s="1"/>
  <c r="H143" i="1"/>
  <c r="H144" i="1" s="1"/>
  <c r="H145" i="1" s="1"/>
  <c r="H146" i="1" s="1"/>
  <c r="H147" i="1" s="1"/>
  <c r="H148" i="1" s="1"/>
  <c r="A143" i="1"/>
  <c r="A144" i="1"/>
  <c r="A145" i="1"/>
  <c r="A146" i="1"/>
  <c r="A147" i="1"/>
  <c r="A148" i="1"/>
  <c r="A113" i="1"/>
  <c r="H112" i="1" s="1"/>
  <c r="A114" i="1"/>
  <c r="H113" i="1" s="1"/>
  <c r="A115" i="1"/>
  <c r="A116" i="1"/>
  <c r="A117" i="1"/>
  <c r="A118" i="1"/>
  <c r="I119" i="1" s="1"/>
  <c r="A119" i="1"/>
  <c r="H118" i="1" s="1"/>
  <c r="A120" i="1"/>
  <c r="I121" i="1" s="1"/>
  <c r="A121" i="1"/>
  <c r="H120" i="1" s="1"/>
  <c r="A68" i="1"/>
  <c r="A67" i="1"/>
  <c r="I68" i="1" s="1"/>
  <c r="A31" i="1"/>
  <c r="A32" i="1"/>
  <c r="A33" i="1"/>
  <c r="A34" i="1"/>
  <c r="A35" i="1"/>
  <c r="A36" i="1"/>
  <c r="A37" i="1"/>
  <c r="A38" i="1"/>
  <c r="A39" i="1"/>
  <c r="A40" i="1"/>
  <c r="A41" i="1"/>
  <c r="A42" i="1"/>
  <c r="A43" i="1"/>
  <c r="H42" i="1" s="1"/>
  <c r="A21" i="1"/>
  <c r="A22" i="1"/>
  <c r="A23" i="1"/>
  <c r="A24" i="1"/>
  <c r="A25" i="1"/>
  <c r="A26" i="1"/>
  <c r="A27" i="1"/>
  <c r="A28" i="1"/>
  <c r="A29" i="1"/>
  <c r="I30" i="1" s="1"/>
  <c r="A2" i="1"/>
  <c r="A3" i="1"/>
  <c r="A4" i="1"/>
  <c r="A5" i="1"/>
  <c r="A6" i="1"/>
  <c r="A7" i="1"/>
  <c r="A8" i="1"/>
  <c r="A9" i="1"/>
  <c r="A10" i="1"/>
  <c r="I11" i="1" s="1"/>
  <c r="A11" i="1"/>
  <c r="H10" i="1" s="1"/>
  <c r="A12" i="1"/>
  <c r="I13" i="1" s="1"/>
  <c r="A13" i="1"/>
  <c r="A14" i="1"/>
  <c r="I15" i="1" s="1"/>
  <c r="A15" i="1"/>
  <c r="I16" i="1" s="1"/>
  <c r="A16" i="1"/>
  <c r="A17" i="1"/>
  <c r="A18" i="1"/>
  <c r="H17" i="1" s="1"/>
  <c r="A19" i="1"/>
  <c r="H18" i="1" s="1"/>
  <c r="A20" i="1"/>
  <c r="I21" i="1" s="1"/>
  <c r="A30" i="1"/>
  <c r="H29" i="1" s="1"/>
  <c r="A44" i="1"/>
  <c r="I45" i="1" s="1"/>
  <c r="A45" i="1"/>
  <c r="A46" i="1"/>
  <c r="A47" i="1"/>
  <c r="A48" i="1"/>
  <c r="A49" i="1"/>
  <c r="A50" i="1"/>
  <c r="A51" i="1"/>
  <c r="A52" i="1"/>
  <c r="A53" i="1"/>
  <c r="A54" i="1"/>
  <c r="A55" i="1"/>
  <c r="A56" i="1"/>
  <c r="A57" i="1"/>
  <c r="A58" i="1"/>
  <c r="A59" i="1"/>
  <c r="A60" i="1"/>
  <c r="A61" i="1"/>
  <c r="A62" i="1"/>
  <c r="A63" i="1"/>
  <c r="A64" i="1"/>
  <c r="A65" i="1"/>
  <c r="A66" i="1"/>
  <c r="H65" i="1" s="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H110" i="1" s="1"/>
  <c r="A112" i="1"/>
  <c r="I113" i="1" s="1"/>
  <c r="A122" i="1"/>
  <c r="I123" i="1" s="1"/>
  <c r="A123" i="1"/>
  <c r="A124" i="1"/>
  <c r="A125" i="1"/>
  <c r="A126" i="1"/>
  <c r="A127" i="1"/>
  <c r="A128" i="1"/>
  <c r="A129" i="1"/>
  <c r="A130" i="1"/>
  <c r="H129" i="1" s="1"/>
  <c r="A131" i="1"/>
  <c r="I132" i="1" s="1"/>
  <c r="A132" i="1"/>
  <c r="A133" i="1"/>
  <c r="A134" i="1"/>
  <c r="A135" i="1"/>
  <c r="A136" i="1"/>
  <c r="A137" i="1"/>
  <c r="A138" i="1"/>
  <c r="H137" i="1" s="1"/>
  <c r="A139" i="1"/>
  <c r="I140" i="1" s="1"/>
  <c r="A140" i="1"/>
  <c r="A141" i="1"/>
  <c r="H140" i="1" s="1"/>
  <c r="A142" i="1"/>
  <c r="A214" i="1"/>
  <c r="I215" i="1" s="1"/>
  <c r="A222" i="1"/>
  <c r="A223" i="1"/>
  <c r="A224" i="1"/>
  <c r="H223" i="1" s="1"/>
  <c r="A228" i="1"/>
  <c r="A286" i="1"/>
  <c r="I287" i="1" s="1"/>
  <c r="A225" i="1"/>
  <c r="A250" i="1"/>
  <c r="I251" i="1" s="1"/>
  <c r="A251" i="1"/>
  <c r="A257" i="1"/>
  <c r="I258" i="1" s="1"/>
  <c r="A258" i="1"/>
  <c r="A270" i="1"/>
  <c r="A263" i="1"/>
  <c r="I264" i="1" s="1"/>
  <c r="A264" i="1"/>
  <c r="A265" i="1"/>
  <c r="A266" i="1"/>
  <c r="A267" i="1"/>
  <c r="A285" i="1"/>
  <c r="A278" i="1"/>
  <c r="A279" i="1"/>
  <c r="A280" i="1"/>
  <c r="A282" i="1"/>
  <c r="A290" i="1"/>
  <c r="I291" i="1" s="1"/>
  <c r="A291" i="1"/>
  <c r="A292" i="1"/>
  <c r="A293" i="1"/>
  <c r="A294" i="1"/>
  <c r="A295" i="1"/>
  <c r="H294" i="1" s="1"/>
  <c r="A296" i="1"/>
  <c r="H295" i="1" s="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G280" i="1" a="1"/>
  <c r="G281" i="1" a="1"/>
  <c r="G282" i="1" a="1"/>
  <c r="G290" i="1" a="1"/>
  <c r="G291" i="1" a="1"/>
  <c r="G292" i="1" a="1"/>
  <c r="G293" i="1" a="1"/>
  <c r="G294" i="1" a="1"/>
  <c r="G295" i="1" a="1"/>
  <c r="G296" i="1" a="1"/>
  <c r="G297" i="1" a="1"/>
  <c r="G298" i="1" a="1"/>
  <c r="G299" i="1" a="1"/>
  <c r="G300" i="1" a="1"/>
  <c r="G301" i="1" a="1"/>
  <c r="G302" i="1" a="1"/>
  <c r="G303" i="1" a="1"/>
  <c r="G304" i="1" a="1"/>
  <c r="G305" i="1" a="1"/>
  <c r="G306" i="1" a="1"/>
  <c r="G307" i="1" a="1"/>
  <c r="G308" i="1" a="1"/>
  <c r="G309" i="1" a="1"/>
  <c r="G310" i="1" a="1"/>
  <c r="G311" i="1" a="1"/>
  <c r="G312" i="1" a="1"/>
  <c r="G313" i="1" a="1"/>
  <c r="G314" i="1" a="1"/>
  <c r="G315" i="1" a="1"/>
  <c r="G316" i="1" a="1"/>
  <c r="G317" i="1" a="1"/>
  <c r="G318" i="1" a="1"/>
  <c r="G319" i="1" a="1"/>
  <c r="G320" i="1" a="1"/>
  <c r="G321" i="1" a="1"/>
  <c r="G322" i="1" a="1"/>
  <c r="G323"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 r="I292" i="1" l="1"/>
  <c r="H290" i="1"/>
  <c r="I293" i="1"/>
  <c r="H291" i="1"/>
  <c r="I294" i="1"/>
  <c r="H292" i="1"/>
  <c r="I295" i="1"/>
  <c r="H293" i="1"/>
  <c r="H274" i="1"/>
  <c r="I276" i="1"/>
  <c r="I289" i="1"/>
  <c r="H287" i="1"/>
  <c r="I231" i="1"/>
  <c r="H288" i="1"/>
  <c r="I288" i="1"/>
  <c r="H286" i="1"/>
  <c r="I230" i="1"/>
  <c r="H228" i="1"/>
  <c r="H229" i="1"/>
  <c r="I232" i="1"/>
  <c r="I233" i="1"/>
  <c r="H231" i="1"/>
  <c r="I234" i="1"/>
  <c r="H232" i="1"/>
  <c r="I219" i="1"/>
  <c r="H216" i="1"/>
  <c r="H273" i="1"/>
  <c r="I274" i="1"/>
  <c r="H272" i="1"/>
  <c r="I273" i="1"/>
  <c r="H270" i="1"/>
  <c r="H242" i="1"/>
  <c r="I244" i="1"/>
  <c r="I262" i="1"/>
  <c r="H260" i="1"/>
  <c r="I272" i="1"/>
  <c r="H269" i="1"/>
  <c r="I265" i="1"/>
  <c r="H263" i="1"/>
  <c r="I266" i="1"/>
  <c r="H264" i="1"/>
  <c r="I267" i="1"/>
  <c r="H265" i="1"/>
  <c r="I268" i="1"/>
  <c r="H266" i="1"/>
  <c r="H257" i="1"/>
  <c r="I259" i="1"/>
  <c r="H241" i="1"/>
  <c r="H240" i="1"/>
  <c r="I254" i="1"/>
  <c r="H252" i="1"/>
  <c r="I253" i="1"/>
  <c r="H251" i="1"/>
  <c r="H114" i="1"/>
  <c r="I116" i="1"/>
  <c r="I117" i="1"/>
  <c r="H115" i="1"/>
  <c r="I252" i="1"/>
  <c r="H250" i="1"/>
  <c r="I247" i="1"/>
  <c r="H245" i="1"/>
  <c r="H239" i="1"/>
  <c r="H214" i="1"/>
  <c r="H218" i="1"/>
  <c r="I220" i="1"/>
  <c r="H221" i="1"/>
  <c r="I223" i="1"/>
  <c r="I224" i="1"/>
  <c r="H222" i="1"/>
  <c r="H116" i="1"/>
  <c r="I118" i="1"/>
  <c r="I207" i="1"/>
  <c r="H205" i="1"/>
  <c r="I209" i="1"/>
  <c r="H207" i="1"/>
  <c r="I210" i="1"/>
  <c r="H208" i="1"/>
  <c r="H210" i="1"/>
  <c r="I212" i="1"/>
  <c r="H200" i="1"/>
  <c r="I202" i="1"/>
  <c r="H201" i="1"/>
  <c r="I203" i="1"/>
  <c r="H203" i="1"/>
  <c r="I205" i="1"/>
  <c r="H204" i="1"/>
  <c r="I206" i="1"/>
  <c r="H158" i="1"/>
  <c r="I160" i="1"/>
  <c r="I161" i="1"/>
  <c r="H159" i="1"/>
  <c r="I162" i="1"/>
  <c r="H160" i="1"/>
  <c r="H162" i="1"/>
  <c r="I164" i="1"/>
  <c r="I172" i="1"/>
  <c r="H170" i="1"/>
  <c r="I174" i="1"/>
  <c r="H172" i="1"/>
  <c r="H182" i="1"/>
  <c r="I184" i="1"/>
  <c r="H184" i="1"/>
  <c r="I186" i="1"/>
  <c r="I187" i="1"/>
  <c r="H185" i="1"/>
  <c r="I196" i="1"/>
  <c r="H194" i="1"/>
  <c r="I197" i="1"/>
  <c r="H195" i="1"/>
  <c r="I198" i="1"/>
  <c r="H196" i="1"/>
  <c r="H153" i="1"/>
  <c r="I155" i="1"/>
  <c r="I156" i="1"/>
  <c r="H154" i="1"/>
  <c r="I120" i="1"/>
  <c r="H197" i="1"/>
  <c r="H171" i="1"/>
  <c r="H209" i="1"/>
  <c r="I163" i="1"/>
  <c r="I188" i="1"/>
  <c r="I204" i="1"/>
  <c r="H206" i="1"/>
  <c r="I185" i="1"/>
  <c r="I213" i="1"/>
  <c r="I201" i="1"/>
  <c r="I200" i="1"/>
  <c r="I176" i="1"/>
  <c r="I153" i="1"/>
  <c r="H152" i="1"/>
  <c r="I175" i="1"/>
  <c r="I152" i="1"/>
  <c r="I151" i="1"/>
  <c r="I115" i="1"/>
  <c r="I114" i="1"/>
  <c r="I195" i="1"/>
  <c r="I183" i="1"/>
  <c r="I171" i="1"/>
  <c r="I159" i="1"/>
  <c r="I194" i="1"/>
  <c r="I182" i="1"/>
  <c r="I170" i="1"/>
  <c r="I158" i="1"/>
  <c r="I193" i="1"/>
  <c r="I181" i="1"/>
  <c r="I169" i="1"/>
  <c r="I157" i="1"/>
  <c r="I192" i="1"/>
  <c r="I180" i="1"/>
  <c r="I168" i="1"/>
  <c r="I191" i="1"/>
  <c r="I179" i="1"/>
  <c r="I167" i="1"/>
  <c r="I190" i="1"/>
  <c r="I178" i="1"/>
  <c r="I166" i="1"/>
  <c r="I189" i="1"/>
  <c r="I177" i="1"/>
  <c r="I165" i="1"/>
  <c r="H119" i="1"/>
  <c r="H117" i="1"/>
  <c r="I141" i="1"/>
  <c r="H139" i="1"/>
  <c r="I69" i="1"/>
  <c r="H67" i="1"/>
  <c r="I22" i="1"/>
  <c r="H20" i="1"/>
  <c r="I23" i="1"/>
  <c r="H21" i="1"/>
  <c r="I24" i="1"/>
  <c r="H22" i="1"/>
  <c r="I25" i="1"/>
  <c r="H23" i="1"/>
  <c r="I26" i="1"/>
  <c r="H24" i="1"/>
  <c r="H25" i="1"/>
  <c r="I27" i="1"/>
  <c r="H26" i="1"/>
  <c r="I28" i="1"/>
  <c r="I29" i="1"/>
  <c r="H27" i="1"/>
  <c r="H28" i="1"/>
  <c r="I14" i="1"/>
  <c r="H12" i="1"/>
  <c r="I17" i="1"/>
  <c r="H15" i="1"/>
  <c r="I18" i="1"/>
  <c r="H16" i="1"/>
  <c r="H68" i="1"/>
  <c r="I70" i="1"/>
  <c r="H69" i="1"/>
  <c r="I71" i="1"/>
  <c r="H70" i="1"/>
  <c r="I72" i="1"/>
  <c r="H71" i="1"/>
  <c r="I73" i="1"/>
  <c r="H72" i="1"/>
  <c r="I74" i="1"/>
  <c r="H73" i="1"/>
  <c r="I75" i="1"/>
  <c r="H74" i="1"/>
  <c r="I76" i="1"/>
  <c r="H75" i="1"/>
  <c r="I77" i="1"/>
  <c r="H76" i="1"/>
  <c r="I78" i="1"/>
  <c r="I79" i="1"/>
  <c r="H77" i="1"/>
  <c r="I80" i="1"/>
  <c r="H78" i="1"/>
  <c r="I81" i="1"/>
  <c r="H79" i="1"/>
  <c r="I82" i="1"/>
  <c r="H80" i="1"/>
  <c r="H81" i="1"/>
  <c r="I83" i="1"/>
  <c r="H82" i="1"/>
  <c r="I84" i="1"/>
  <c r="I85" i="1"/>
  <c r="H83" i="1"/>
  <c r="I86" i="1"/>
  <c r="H84" i="1"/>
  <c r="I87" i="1"/>
  <c r="H85" i="1"/>
  <c r="I88" i="1"/>
  <c r="H86" i="1"/>
  <c r="I89" i="1"/>
  <c r="H87" i="1"/>
  <c r="H88" i="1"/>
  <c r="I90" i="1"/>
  <c r="H89" i="1"/>
  <c r="I91" i="1"/>
  <c r="H90" i="1"/>
  <c r="I92" i="1"/>
  <c r="I93" i="1"/>
  <c r="H91" i="1"/>
  <c r="I94" i="1"/>
  <c r="H92" i="1"/>
  <c r="H93" i="1"/>
  <c r="I95" i="1"/>
  <c r="H94" i="1"/>
  <c r="I96" i="1"/>
  <c r="I97" i="1"/>
  <c r="H95" i="1"/>
  <c r="I98" i="1"/>
  <c r="H96" i="1"/>
  <c r="I99" i="1"/>
  <c r="H97" i="1"/>
  <c r="I100" i="1"/>
  <c r="H98" i="1"/>
  <c r="I101" i="1"/>
  <c r="H99" i="1"/>
  <c r="I102" i="1"/>
  <c r="H100" i="1"/>
  <c r="H101" i="1"/>
  <c r="I103" i="1"/>
  <c r="H102" i="1"/>
  <c r="I104" i="1"/>
  <c r="I105" i="1"/>
  <c r="H103" i="1"/>
  <c r="H104" i="1"/>
  <c r="I106" i="1"/>
  <c r="H105" i="1"/>
  <c r="I107" i="1"/>
  <c r="H106" i="1"/>
  <c r="I108" i="1"/>
  <c r="H107" i="1"/>
  <c r="I109" i="1"/>
  <c r="I110" i="1"/>
  <c r="H108" i="1"/>
  <c r="H109" i="1"/>
  <c r="I111" i="1"/>
  <c r="I124" i="1"/>
  <c r="H122" i="1"/>
  <c r="I125" i="1"/>
  <c r="H123" i="1"/>
  <c r="H124" i="1"/>
  <c r="I126" i="1"/>
  <c r="H125" i="1"/>
  <c r="I127" i="1"/>
  <c r="H126" i="1"/>
  <c r="I128" i="1"/>
  <c r="H127" i="1"/>
  <c r="I129" i="1"/>
  <c r="H128" i="1"/>
  <c r="I130" i="1"/>
  <c r="I133" i="1"/>
  <c r="H131" i="1"/>
  <c r="I134" i="1"/>
  <c r="H132" i="1"/>
  <c r="I135" i="1"/>
  <c r="H133" i="1"/>
  <c r="I136" i="1"/>
  <c r="H134" i="1"/>
  <c r="H135" i="1"/>
  <c r="I137" i="1"/>
  <c r="H136" i="1"/>
  <c r="I138" i="1"/>
  <c r="I32" i="1"/>
  <c r="H31" i="1"/>
  <c r="I33" i="1"/>
  <c r="H32" i="1"/>
  <c r="I34" i="1"/>
  <c r="H33" i="1"/>
  <c r="I35" i="1"/>
  <c r="I36" i="1"/>
  <c r="H34" i="1"/>
  <c r="I37" i="1"/>
  <c r="H35" i="1"/>
  <c r="H36" i="1"/>
  <c r="I38" i="1"/>
  <c r="I39" i="1"/>
  <c r="H37" i="1"/>
  <c r="I40" i="1"/>
  <c r="H38" i="1"/>
  <c r="I41" i="1"/>
  <c r="H39" i="1"/>
  <c r="H40" i="1"/>
  <c r="I42" i="1"/>
  <c r="H41" i="1"/>
  <c r="I43" i="1"/>
  <c r="H44" i="1"/>
  <c r="I46" i="1"/>
  <c r="I47" i="1"/>
  <c r="H45" i="1"/>
  <c r="I48" i="1"/>
  <c r="H46" i="1"/>
  <c r="I49" i="1"/>
  <c r="H47" i="1"/>
  <c r="I50" i="1"/>
  <c r="H48" i="1"/>
  <c r="H49" i="1"/>
  <c r="I51" i="1"/>
  <c r="H50" i="1"/>
  <c r="I52" i="1"/>
  <c r="I53" i="1"/>
  <c r="H51" i="1"/>
  <c r="H52" i="1"/>
  <c r="I54" i="1"/>
  <c r="H53" i="1"/>
  <c r="I55" i="1"/>
  <c r="H54" i="1"/>
  <c r="I56" i="1"/>
  <c r="H55" i="1"/>
  <c r="I57" i="1"/>
  <c r="H56" i="1"/>
  <c r="I58" i="1"/>
  <c r="H57" i="1"/>
  <c r="I59" i="1"/>
  <c r="I60" i="1"/>
  <c r="H58" i="1"/>
  <c r="I61" i="1"/>
  <c r="H59" i="1"/>
  <c r="I62" i="1"/>
  <c r="H60" i="1"/>
  <c r="I63" i="1"/>
  <c r="H61" i="1"/>
  <c r="I64" i="1"/>
  <c r="H62" i="1"/>
  <c r="I65" i="1"/>
  <c r="H63" i="1"/>
  <c r="I66" i="1"/>
  <c r="H64" i="1"/>
  <c r="H14" i="1"/>
  <c r="H13" i="1"/>
  <c r="H11" i="1"/>
  <c r="I12" i="1"/>
  <c r="I1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<sst xmlns="http://schemas.openxmlformats.org/spreadsheetml/2006/main" count="2063" uniqueCount="645">
  <si>
    <t>ID_REF</t>
  </si>
  <si>
    <t>Tema_Principal</t>
  </si>
  <si>
    <t>Subtema</t>
  </si>
  <si>
    <t>Libro</t>
  </si>
  <si>
    <t>Capítulo</t>
  </si>
  <si>
    <t>Versículo</t>
  </si>
  <si>
    <t>Texto_Verso</t>
  </si>
  <si>
    <t>ID_Siguiente</t>
  </si>
  <si>
    <t>ID_Anterior</t>
  </si>
  <si>
    <t>Ideas</t>
  </si>
  <si>
    <t>Tema Thompson</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</si>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</sst>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4">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L841" totalsRowShown="0" headerRowDxfId="13">
  <autoFilter ref="A1:L841" xr:uid="{0F534DC0-C216-4594-8648-9D4F0B999606}"/>
  <tableColumns count="12">
    <tableColumn id="1" xr3:uid="{9233FEBF-F03D-484B-AEC3-C9958016F8CF}" name="ID_REF" dataDxfId="12">
      <calculatedColumnFormula>IF(BD_Versos[[#This Row],[Tema_Principal]]="","",ROW(BD_Versos[[#This Row],[Tema_Principal]])-1)</calculatedColumnFormula>
    </tableColumn>
    <tableColumn id="2" xr3:uid="{9BF3E82A-BAEF-460A-8441-159B13B2B711}" name="Tema_Principal" dataDxfId="11"/>
    <tableColumn id="3" xr3:uid="{E55C2286-2AF8-47BB-BE46-6959CD479D5F}" name="Subtema" dataDxfId="10"/>
    <tableColumn id="4" xr3:uid="{9C344D3B-4DCB-4FC8-A47B-9B155BC0E605}" name="Libro" dataDxfId="9"/>
    <tableColumn id="5" xr3:uid="{91586F71-340B-477B-AF86-FB03253FA9EB}" name="Capítulo" dataDxfId="8"/>
    <tableColumn id="6" xr3:uid="{B613B809-F7FC-4DF1-978A-8B975B3DD39F}" name="Versículo" dataDxfId="7"/>
    <tableColumn id="7" xr3:uid="{5857187A-B955-4686-BB3F-CC18817AE6AC}" name="Texto_Verso" dataDxfId="6">
      <calculatedColumnFormula array="1">IF(OR(BD_Versos[[#This Row],[Libro]]="",BD_Versos[[#This Row],[Capítulo]]="",BD_Versos[[#This Row],[Versículo]]=""),"",ExtraerPasaje(_xlfn.CONCAT(BD_Versos[[#This Row],[Libro]],BD_Versos[[#This Row],[Capítulo]],":",BD_Versos[[#This Row],[Versículo]])))</calculatedColumnFormula>
    </tableColumn>
    <tableColumn id="8" xr3:uid="{DBA4B25A-A899-4063-BDD5-6144F9C3DF4F}" name="ID_Siguiente" dataDxfId="5"/>
    <tableColumn id="9" xr3:uid="{CB0F52B0-64FC-4E8C-892D-E101CC1A6074}" name="ID_Anterior" dataDxfId="4"/>
    <tableColumn id="10" xr3:uid="{BF2E7E30-FE62-4395-8D0A-9F52201B59F1}" name="Ideas" dataDxfId="3"/>
    <tableColumn id="11" xr3:uid="{D22C3582-677F-4611-A2EA-2F835F2610E3}" name="Tema Thompson"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11</v>
      </c>
      <c r="B5" t="s">
        <v>26</v>
      </c>
      <c r="C5" t="s">
        <v>27</v>
      </c>
      <c r="D5">
        <v>12</v>
      </c>
      <c r="E5" t="s">
        <v>28</v>
      </c>
      <c r="F5" s="8" t="s">
        <v>168</v>
      </c>
    </row>
    <row r="6" spans="1:6" ht="45" x14ac:dyDescent="0.25">
      <c r="B6" t="s">
        <v>19</v>
      </c>
      <c r="C6" t="s">
        <v>20</v>
      </c>
      <c r="D6">
        <v>2</v>
      </c>
      <c r="E6">
        <v>16</v>
      </c>
      <c r="F6" s="8" t="s">
        <v>169</v>
      </c>
    </row>
    <row r="7" spans="1:6" ht="30" x14ac:dyDescent="0.25">
      <c r="B7" t="s">
        <v>22</v>
      </c>
      <c r="C7" t="s">
        <v>23</v>
      </c>
      <c r="D7">
        <v>2</v>
      </c>
      <c r="E7">
        <v>5</v>
      </c>
      <c r="F7" s="8" t="s">
        <v>170</v>
      </c>
    </row>
    <row r="8" spans="1:6" ht="45" x14ac:dyDescent="0.25">
      <c r="B8" t="s">
        <v>17</v>
      </c>
      <c r="C8" t="s">
        <v>18</v>
      </c>
      <c r="D8">
        <v>2</v>
      </c>
      <c r="E8">
        <v>2</v>
      </c>
      <c r="F8" s="8" t="s">
        <v>171</v>
      </c>
    </row>
    <row r="9" spans="1:6" ht="60" x14ac:dyDescent="0.25">
      <c r="B9" t="s">
        <v>24</v>
      </c>
      <c r="C9" t="s">
        <v>23</v>
      </c>
      <c r="D9">
        <v>4</v>
      </c>
      <c r="E9" t="s">
        <v>25</v>
      </c>
      <c r="F9" s="8" t="s">
        <v>172</v>
      </c>
    </row>
    <row r="10" spans="1:6" ht="30" x14ac:dyDescent="0.25">
      <c r="B10" t="s">
        <v>21</v>
      </c>
      <c r="C10" t="s">
        <v>20</v>
      </c>
      <c r="D10">
        <v>3</v>
      </c>
      <c r="E10">
        <v>14</v>
      </c>
      <c r="F10" s="8" t="s">
        <v>173</v>
      </c>
    </row>
    <row r="11" spans="1:6" ht="90" x14ac:dyDescent="0.25">
      <c r="B11" t="s">
        <v>14</v>
      </c>
      <c r="C11" t="s">
        <v>15</v>
      </c>
      <c r="D11">
        <v>9</v>
      </c>
      <c r="E11" t="s">
        <v>16</v>
      </c>
      <c r="F11" s="8" t="s">
        <v>174</v>
      </c>
    </row>
    <row r="12" spans="1:6" ht="60" x14ac:dyDescent="0.25">
      <c r="B12" t="s">
        <v>12</v>
      </c>
      <c r="C12" t="s">
        <v>13</v>
      </c>
      <c r="D12">
        <v>20</v>
      </c>
      <c r="E12">
        <v>24</v>
      </c>
      <c r="F12" s="8" t="s">
        <v>175</v>
      </c>
    </row>
    <row r="13" spans="1:6" ht="60" x14ac:dyDescent="0.25">
      <c r="A13" t="s">
        <v>29</v>
      </c>
      <c r="B13" t="s">
        <v>166</v>
      </c>
      <c r="C13" t="s">
        <v>15</v>
      </c>
      <c r="D13">
        <v>7</v>
      </c>
      <c r="E13" t="s">
        <v>35</v>
      </c>
      <c r="F13" s="8" t="s">
        <v>176</v>
      </c>
    </row>
    <row r="14" spans="1:6" ht="30" x14ac:dyDescent="0.25">
      <c r="C14" t="s">
        <v>36</v>
      </c>
      <c r="D14">
        <v>2</v>
      </c>
      <c r="E14" t="s">
        <v>37</v>
      </c>
      <c r="F14" s="8" t="s">
        <v>177</v>
      </c>
    </row>
    <row r="15" spans="1:6" ht="45" x14ac:dyDescent="0.25">
      <c r="D15">
        <v>11</v>
      </c>
      <c r="E15" t="s">
        <v>38</v>
      </c>
      <c r="F15" s="8" t="s">
        <v>178</v>
      </c>
    </row>
    <row r="16" spans="1:6" ht="30" x14ac:dyDescent="0.25">
      <c r="C16" t="s">
        <v>40</v>
      </c>
      <c r="D16">
        <v>2</v>
      </c>
      <c r="E16" t="s">
        <v>41</v>
      </c>
      <c r="F16" s="8" t="s">
        <v>179</v>
      </c>
    </row>
    <row r="17" spans="1:6" ht="45" x14ac:dyDescent="0.25">
      <c r="C17" t="s">
        <v>42</v>
      </c>
      <c r="D17">
        <v>12</v>
      </c>
      <c r="E17" t="s">
        <v>41</v>
      </c>
      <c r="F17" s="8" t="s">
        <v>180</v>
      </c>
    </row>
    <row r="18" spans="1:6" ht="30" x14ac:dyDescent="0.25">
      <c r="D18">
        <v>20</v>
      </c>
      <c r="E18" t="s">
        <v>43</v>
      </c>
      <c r="F18" s="8" t="s">
        <v>181</v>
      </c>
    </row>
    <row r="19" spans="1:6" ht="30" x14ac:dyDescent="0.25">
      <c r="C19" t="s">
        <v>39</v>
      </c>
      <c r="D19">
        <v>6</v>
      </c>
      <c r="E19" t="s">
        <v>37</v>
      </c>
      <c r="F19" s="8" t="s">
        <v>182</v>
      </c>
    </row>
    <row r="20" spans="1:6" ht="30" x14ac:dyDescent="0.25">
      <c r="C20" t="s">
        <v>33</v>
      </c>
      <c r="D20">
        <v>4</v>
      </c>
      <c r="E20" t="s">
        <v>34</v>
      </c>
      <c r="F20" s="8" t="s">
        <v>183</v>
      </c>
    </row>
    <row r="21" spans="1:6" ht="45" x14ac:dyDescent="0.25">
      <c r="C21" t="s">
        <v>30</v>
      </c>
      <c r="D21">
        <v>4</v>
      </c>
      <c r="E21" t="s">
        <v>31</v>
      </c>
      <c r="F21" s="8" t="s">
        <v>184</v>
      </c>
    </row>
    <row r="22" spans="1:6" ht="45" x14ac:dyDescent="0.25">
      <c r="D22">
        <v>8</v>
      </c>
      <c r="E22" t="s">
        <v>32</v>
      </c>
      <c r="F22" s="8" t="s">
        <v>185</v>
      </c>
    </row>
    <row r="23" spans="1:6" ht="45" x14ac:dyDescent="0.25">
      <c r="A23" t="s">
        <v>44</v>
      </c>
      <c r="B23" t="s">
        <v>164</v>
      </c>
      <c r="C23" t="s">
        <v>102</v>
      </c>
      <c r="D23">
        <v>5</v>
      </c>
      <c r="E23" t="s">
        <v>108</v>
      </c>
      <c r="F23" s="8" t="s">
        <v>186</v>
      </c>
    </row>
    <row r="24" spans="1:6" ht="30" x14ac:dyDescent="0.25">
      <c r="C24" t="s">
        <v>100</v>
      </c>
      <c r="D24">
        <v>5</v>
      </c>
      <c r="E24" t="s">
        <v>118</v>
      </c>
      <c r="F24" s="8" t="s">
        <v>187</v>
      </c>
    </row>
    <row r="25" spans="1:6" ht="30" x14ac:dyDescent="0.25">
      <c r="C25" t="s">
        <v>58</v>
      </c>
      <c r="D25">
        <v>13</v>
      </c>
      <c r="E25" t="s">
        <v>118</v>
      </c>
      <c r="F25" s="8" t="s">
        <v>188</v>
      </c>
    </row>
    <row r="26" spans="1:6" ht="30" x14ac:dyDescent="0.25">
      <c r="C26" t="s">
        <v>39</v>
      </c>
      <c r="D26">
        <v>4</v>
      </c>
      <c r="E26" t="s">
        <v>51</v>
      </c>
      <c r="F26" s="8" t="s">
        <v>189</v>
      </c>
    </row>
    <row r="27" spans="1:6" ht="30" x14ac:dyDescent="0.25">
      <c r="D27">
        <v>6</v>
      </c>
      <c r="E27" t="s">
        <v>37</v>
      </c>
      <c r="F27" s="8" t="s">
        <v>182</v>
      </c>
    </row>
    <row r="28" spans="1:6" ht="30" x14ac:dyDescent="0.25">
      <c r="C28" t="s">
        <v>33</v>
      </c>
      <c r="D28">
        <v>4</v>
      </c>
      <c r="E28" t="s">
        <v>118</v>
      </c>
      <c r="F28" s="8" t="s">
        <v>190</v>
      </c>
    </row>
    <row r="29" spans="1:6" ht="30" x14ac:dyDescent="0.25">
      <c r="C29" t="s">
        <v>50</v>
      </c>
      <c r="D29">
        <v>4</v>
      </c>
      <c r="E29" t="s">
        <v>119</v>
      </c>
      <c r="F29" s="8" t="s">
        <v>191</v>
      </c>
    </row>
    <row r="30" spans="1:6" x14ac:dyDescent="0.25">
      <c r="C30" t="s">
        <v>99</v>
      </c>
      <c r="D30">
        <v>4</v>
      </c>
      <c r="E30" t="s">
        <v>43</v>
      </c>
      <c r="F30" s="8" t="s">
        <v>192</v>
      </c>
    </row>
    <row r="31" spans="1:6" ht="30" x14ac:dyDescent="0.25">
      <c r="B31" t="s">
        <v>159</v>
      </c>
      <c r="C31" t="s">
        <v>36</v>
      </c>
      <c r="D31">
        <v>2</v>
      </c>
      <c r="E31" t="s">
        <v>37</v>
      </c>
      <c r="F31" s="8" t="s">
        <v>177</v>
      </c>
    </row>
    <row r="32" spans="1:6" ht="30" x14ac:dyDescent="0.25">
      <c r="D32">
        <v>11</v>
      </c>
      <c r="E32" t="s">
        <v>47</v>
      </c>
      <c r="F32" s="8" t="s">
        <v>193</v>
      </c>
    </row>
    <row r="33" spans="2:6" ht="60" x14ac:dyDescent="0.25">
      <c r="C33" t="s">
        <v>42</v>
      </c>
      <c r="D33">
        <v>13</v>
      </c>
      <c r="E33" t="s">
        <v>47</v>
      </c>
      <c r="F33" s="8" t="s">
        <v>194</v>
      </c>
    </row>
    <row r="34" spans="2:6" ht="75" x14ac:dyDescent="0.25">
      <c r="D34">
        <v>19</v>
      </c>
      <c r="E34" t="s">
        <v>117</v>
      </c>
      <c r="F34" s="8" t="s">
        <v>195</v>
      </c>
    </row>
    <row r="35" spans="2:6" ht="75" x14ac:dyDescent="0.25">
      <c r="D35">
        <v>20</v>
      </c>
      <c r="E35" t="s">
        <v>25</v>
      </c>
      <c r="F35" s="8" t="s">
        <v>196</v>
      </c>
    </row>
    <row r="36" spans="2:6" ht="30" x14ac:dyDescent="0.25">
      <c r="C36" t="s">
        <v>46</v>
      </c>
      <c r="D36">
        <v>3</v>
      </c>
      <c r="E36" t="s">
        <v>35</v>
      </c>
      <c r="F36" s="8" t="s">
        <v>197</v>
      </c>
    </row>
    <row r="37" spans="2:6" ht="75" x14ac:dyDescent="0.25">
      <c r="C37" t="s">
        <v>91</v>
      </c>
      <c r="D37">
        <v>8</v>
      </c>
      <c r="E37" t="s">
        <v>143</v>
      </c>
      <c r="F37" s="8" t="s">
        <v>198</v>
      </c>
    </row>
    <row r="38" spans="2:6" ht="30" x14ac:dyDescent="0.25">
      <c r="C38" t="s">
        <v>30</v>
      </c>
      <c r="D38">
        <v>1</v>
      </c>
      <c r="E38" t="s">
        <v>113</v>
      </c>
      <c r="F38" s="8" t="s">
        <v>199</v>
      </c>
    </row>
    <row r="39" spans="2:6" ht="45" x14ac:dyDescent="0.25">
      <c r="C39" t="s">
        <v>50</v>
      </c>
      <c r="D39">
        <v>4</v>
      </c>
      <c r="E39" t="s">
        <v>34</v>
      </c>
      <c r="F39" s="8" t="s">
        <v>200</v>
      </c>
    </row>
    <row r="40" spans="2:6" ht="75" x14ac:dyDescent="0.25">
      <c r="B40" t="s">
        <v>120</v>
      </c>
      <c r="C40" t="s">
        <v>36</v>
      </c>
      <c r="D40">
        <v>4</v>
      </c>
      <c r="E40" t="s">
        <v>130</v>
      </c>
      <c r="F40" s="8" t="s">
        <v>201</v>
      </c>
    </row>
    <row r="41" spans="2:6" ht="30" x14ac:dyDescent="0.25">
      <c r="C41" t="s">
        <v>40</v>
      </c>
      <c r="D41">
        <v>2</v>
      </c>
      <c r="E41" t="s">
        <v>41</v>
      </c>
      <c r="F41" s="8" t="s">
        <v>179</v>
      </c>
    </row>
    <row r="42" spans="2:6" ht="30" x14ac:dyDescent="0.25">
      <c r="C42" t="s">
        <v>23</v>
      </c>
      <c r="D42">
        <v>2</v>
      </c>
      <c r="E42" t="s">
        <v>51</v>
      </c>
      <c r="F42" s="8" t="s">
        <v>202</v>
      </c>
    </row>
    <row r="43" spans="2:6" ht="30" x14ac:dyDescent="0.25">
      <c r="C43" t="s">
        <v>42</v>
      </c>
      <c r="D43">
        <v>11</v>
      </c>
      <c r="E43" t="s">
        <v>43</v>
      </c>
      <c r="F43" s="8" t="s">
        <v>203</v>
      </c>
    </row>
    <row r="44" spans="2:6" ht="45" x14ac:dyDescent="0.25">
      <c r="D44">
        <v>13</v>
      </c>
      <c r="E44" t="s">
        <v>49</v>
      </c>
      <c r="F44" s="8" t="s">
        <v>204</v>
      </c>
    </row>
    <row r="45" spans="2:6" ht="45" x14ac:dyDescent="0.25">
      <c r="E45" t="s">
        <v>43</v>
      </c>
      <c r="F45" s="8" t="s">
        <v>205</v>
      </c>
    </row>
    <row r="46" spans="2:6" ht="30" x14ac:dyDescent="0.25">
      <c r="C46" t="s">
        <v>94</v>
      </c>
      <c r="D46">
        <v>1</v>
      </c>
      <c r="E46" t="s">
        <v>113</v>
      </c>
      <c r="F46" s="8" t="s">
        <v>206</v>
      </c>
    </row>
    <row r="47" spans="2:6" ht="60" x14ac:dyDescent="0.25">
      <c r="C47" t="s">
        <v>39</v>
      </c>
      <c r="D47">
        <v>6</v>
      </c>
      <c r="E47" t="s">
        <v>110</v>
      </c>
      <c r="F47" s="8" t="s">
        <v>207</v>
      </c>
    </row>
    <row r="48" spans="2:6" ht="45" x14ac:dyDescent="0.25">
      <c r="C48" t="s">
        <v>27</v>
      </c>
      <c r="D48">
        <v>2</v>
      </c>
      <c r="E48" t="s">
        <v>47</v>
      </c>
      <c r="F48" s="8" t="s">
        <v>208</v>
      </c>
    </row>
    <row r="49" spans="2:6" ht="60" x14ac:dyDescent="0.25">
      <c r="C49" t="s">
        <v>13</v>
      </c>
      <c r="D49">
        <v>26</v>
      </c>
      <c r="E49" t="s">
        <v>108</v>
      </c>
      <c r="F49" s="8" t="s">
        <v>209</v>
      </c>
    </row>
    <row r="50" spans="2:6" ht="45" x14ac:dyDescent="0.25">
      <c r="C50" t="s">
        <v>48</v>
      </c>
      <c r="D50">
        <v>1</v>
      </c>
      <c r="E50" t="s">
        <v>110</v>
      </c>
      <c r="F50" s="8" t="s">
        <v>210</v>
      </c>
    </row>
    <row r="51" spans="2:6" ht="30" x14ac:dyDescent="0.25">
      <c r="C51" t="s">
        <v>33</v>
      </c>
      <c r="D51">
        <v>4</v>
      </c>
      <c r="E51" t="s">
        <v>34</v>
      </c>
      <c r="F51" s="8" t="s">
        <v>183</v>
      </c>
    </row>
    <row r="52" spans="2:6" ht="60" x14ac:dyDescent="0.25">
      <c r="D52">
        <v>8</v>
      </c>
      <c r="E52" t="s">
        <v>111</v>
      </c>
      <c r="F52" s="8" t="s">
        <v>211</v>
      </c>
    </row>
    <row r="53" spans="2:6" ht="30" x14ac:dyDescent="0.25">
      <c r="D53">
        <v>11</v>
      </c>
      <c r="E53" t="s">
        <v>123</v>
      </c>
      <c r="F53" s="8" t="s">
        <v>212</v>
      </c>
    </row>
    <row r="54" spans="2:6" ht="45" x14ac:dyDescent="0.25">
      <c r="D54">
        <v>13</v>
      </c>
      <c r="E54" t="s">
        <v>124</v>
      </c>
      <c r="F54" s="8" t="s">
        <v>213</v>
      </c>
    </row>
    <row r="55" spans="2:6" ht="45" x14ac:dyDescent="0.25">
      <c r="D55">
        <v>22</v>
      </c>
      <c r="E55" t="s">
        <v>125</v>
      </c>
      <c r="F55" s="8" t="s">
        <v>214</v>
      </c>
    </row>
    <row r="56" spans="2:6" ht="45" x14ac:dyDescent="0.25">
      <c r="C56" t="s">
        <v>30</v>
      </c>
      <c r="D56">
        <v>3</v>
      </c>
      <c r="E56" t="s">
        <v>112</v>
      </c>
      <c r="F56" s="8" t="s">
        <v>215</v>
      </c>
    </row>
    <row r="57" spans="2:6" ht="60" x14ac:dyDescent="0.25">
      <c r="D57">
        <v>5</v>
      </c>
      <c r="E57" t="s">
        <v>113</v>
      </c>
      <c r="F57" s="8" t="s">
        <v>216</v>
      </c>
    </row>
    <row r="58" spans="2:6" ht="45" x14ac:dyDescent="0.25">
      <c r="E58" t="s">
        <v>122</v>
      </c>
      <c r="F58" s="8" t="s">
        <v>217</v>
      </c>
    </row>
    <row r="59" spans="2:6" ht="45" x14ac:dyDescent="0.25">
      <c r="D59">
        <v>9</v>
      </c>
      <c r="E59" t="s">
        <v>108</v>
      </c>
      <c r="F59" s="8" t="s">
        <v>218</v>
      </c>
    </row>
    <row r="60" spans="2:6" ht="45" x14ac:dyDescent="0.25">
      <c r="E60" t="s">
        <v>51</v>
      </c>
      <c r="F60" s="8" t="s">
        <v>219</v>
      </c>
    </row>
    <row r="61" spans="2:6" ht="45" x14ac:dyDescent="0.25">
      <c r="C61" t="s">
        <v>50</v>
      </c>
      <c r="D61">
        <v>8</v>
      </c>
      <c r="E61" t="s">
        <v>121</v>
      </c>
      <c r="F61" s="8" t="s">
        <v>220</v>
      </c>
    </row>
    <row r="62" spans="2:6" ht="45" x14ac:dyDescent="0.25">
      <c r="D62">
        <v>12</v>
      </c>
      <c r="E62" t="s">
        <v>111</v>
      </c>
      <c r="F62" s="8" t="s">
        <v>221</v>
      </c>
    </row>
    <row r="63" spans="2:6" x14ac:dyDescent="0.25">
      <c r="B63" t="s">
        <v>45</v>
      </c>
      <c r="C63" t="s">
        <v>96</v>
      </c>
      <c r="D63">
        <v>5</v>
      </c>
      <c r="E63" t="s">
        <v>31</v>
      </c>
      <c r="F63" s="8" t="s">
        <v>222</v>
      </c>
    </row>
    <row r="64" spans="2:6" ht="30" x14ac:dyDescent="0.25">
      <c r="C64" t="s">
        <v>36</v>
      </c>
      <c r="D64">
        <v>11</v>
      </c>
      <c r="E64" t="s">
        <v>47</v>
      </c>
      <c r="F64" s="8" t="s">
        <v>193</v>
      </c>
    </row>
    <row r="65" spans="2:6" ht="30" x14ac:dyDescent="0.25">
      <c r="C65" t="s">
        <v>42</v>
      </c>
      <c r="D65">
        <v>9</v>
      </c>
      <c r="E65" t="s">
        <v>37</v>
      </c>
      <c r="F65" s="8" t="s">
        <v>223</v>
      </c>
    </row>
    <row r="66" spans="2:6" ht="30" x14ac:dyDescent="0.25">
      <c r="D66">
        <v>20</v>
      </c>
      <c r="E66" t="s">
        <v>49</v>
      </c>
      <c r="F66" s="8" t="s">
        <v>224</v>
      </c>
    </row>
    <row r="67" spans="2:6" ht="30" x14ac:dyDescent="0.25">
      <c r="E67" t="s">
        <v>43</v>
      </c>
      <c r="F67" s="8" t="s">
        <v>181</v>
      </c>
    </row>
    <row r="68" spans="2:6" ht="60" x14ac:dyDescent="0.25">
      <c r="C68" t="s">
        <v>46</v>
      </c>
      <c r="D68">
        <v>3</v>
      </c>
      <c r="E68" t="s">
        <v>47</v>
      </c>
      <c r="F68" s="8" t="s">
        <v>225</v>
      </c>
    </row>
    <row r="69" spans="2:6" ht="30" x14ac:dyDescent="0.25">
      <c r="C69" t="s">
        <v>48</v>
      </c>
      <c r="D69">
        <v>1</v>
      </c>
      <c r="E69" t="s">
        <v>34</v>
      </c>
      <c r="F69" s="8" t="s">
        <v>226</v>
      </c>
    </row>
    <row r="70" spans="2:6" ht="30" x14ac:dyDescent="0.25">
      <c r="D70">
        <v>2</v>
      </c>
      <c r="E70" t="s">
        <v>49</v>
      </c>
      <c r="F70" s="8" t="s">
        <v>227</v>
      </c>
    </row>
    <row r="71" spans="2:6" ht="60" x14ac:dyDescent="0.25">
      <c r="C71" t="s">
        <v>105</v>
      </c>
      <c r="D71">
        <v>1</v>
      </c>
      <c r="E71" t="s">
        <v>41</v>
      </c>
      <c r="F71" s="8" t="s">
        <v>228</v>
      </c>
    </row>
    <row r="72" spans="2:6" ht="45" x14ac:dyDescent="0.25">
      <c r="C72" t="s">
        <v>33</v>
      </c>
      <c r="D72">
        <v>11</v>
      </c>
      <c r="E72" t="s">
        <v>108</v>
      </c>
      <c r="F72" s="8" t="s">
        <v>229</v>
      </c>
    </row>
    <row r="73" spans="2:6" ht="30" x14ac:dyDescent="0.25">
      <c r="C73" t="s">
        <v>50</v>
      </c>
      <c r="D73">
        <v>12</v>
      </c>
      <c r="E73" t="s">
        <v>51</v>
      </c>
      <c r="F73" s="8" t="s">
        <v>230</v>
      </c>
    </row>
    <row r="74" spans="2:6" x14ac:dyDescent="0.25">
      <c r="B74" t="s">
        <v>109</v>
      </c>
      <c r="C74" t="s">
        <v>15</v>
      </c>
      <c r="D74">
        <v>15</v>
      </c>
      <c r="E74" t="s">
        <v>51</v>
      </c>
      <c r="F74" s="8" t="s">
        <v>231</v>
      </c>
    </row>
    <row r="75" spans="2:6" ht="45" x14ac:dyDescent="0.25">
      <c r="C75" t="s">
        <v>102</v>
      </c>
      <c r="D75">
        <v>3</v>
      </c>
      <c r="E75" t="s">
        <v>118</v>
      </c>
      <c r="F75" s="8" t="s">
        <v>232</v>
      </c>
    </row>
    <row r="76" spans="2:6" ht="45" x14ac:dyDescent="0.25">
      <c r="C76" t="s">
        <v>40</v>
      </c>
      <c r="D76">
        <v>2</v>
      </c>
      <c r="E76" t="s">
        <v>118</v>
      </c>
      <c r="F76" s="8" t="s">
        <v>233</v>
      </c>
    </row>
    <row r="77" spans="2:6" ht="45" x14ac:dyDescent="0.25">
      <c r="C77" t="s">
        <v>42</v>
      </c>
      <c r="D77">
        <v>20</v>
      </c>
      <c r="E77" t="s">
        <v>119</v>
      </c>
      <c r="F77" s="8" t="s">
        <v>234</v>
      </c>
    </row>
    <row r="78" spans="2:6" ht="45" x14ac:dyDescent="0.25">
      <c r="C78" t="s">
        <v>46</v>
      </c>
      <c r="D78">
        <v>3</v>
      </c>
      <c r="E78" t="s">
        <v>31</v>
      </c>
      <c r="F78" s="8" t="s">
        <v>235</v>
      </c>
    </row>
    <row r="79" spans="2:6" ht="45" x14ac:dyDescent="0.25">
      <c r="C79" t="s">
        <v>27</v>
      </c>
      <c r="D79">
        <v>2</v>
      </c>
      <c r="E79" t="s">
        <v>47</v>
      </c>
      <c r="F79" s="8" t="s">
        <v>208</v>
      </c>
    </row>
    <row r="80" spans="2:6" ht="45" x14ac:dyDescent="0.25">
      <c r="C80" t="s">
        <v>91</v>
      </c>
      <c r="D80">
        <v>12</v>
      </c>
      <c r="E80" t="s">
        <v>116</v>
      </c>
      <c r="F80" s="8" t="s">
        <v>236</v>
      </c>
    </row>
    <row r="81" spans="2:6" ht="30" x14ac:dyDescent="0.25">
      <c r="D81">
        <v>14</v>
      </c>
      <c r="E81" t="s">
        <v>115</v>
      </c>
      <c r="F81" s="8" t="s">
        <v>237</v>
      </c>
    </row>
    <row r="82" spans="2:6" ht="30" x14ac:dyDescent="0.25">
      <c r="C82" t="s">
        <v>33</v>
      </c>
      <c r="D82">
        <v>4</v>
      </c>
      <c r="E82" t="s">
        <v>113</v>
      </c>
      <c r="F82" s="8" t="s">
        <v>238</v>
      </c>
    </row>
    <row r="83" spans="2:6" ht="30" x14ac:dyDescent="0.25">
      <c r="D83">
        <v>11</v>
      </c>
      <c r="E83" t="s">
        <v>114</v>
      </c>
      <c r="F83" s="8" t="s">
        <v>239</v>
      </c>
    </row>
    <row r="84" spans="2:6" ht="45" x14ac:dyDescent="0.25">
      <c r="C84" t="s">
        <v>30</v>
      </c>
      <c r="D84">
        <v>3</v>
      </c>
      <c r="E84" t="s">
        <v>112</v>
      </c>
      <c r="F84" s="8" t="s">
        <v>215</v>
      </c>
    </row>
    <row r="85" spans="2:6" ht="30" x14ac:dyDescent="0.25">
      <c r="C85" t="s">
        <v>50</v>
      </c>
      <c r="D85">
        <v>2</v>
      </c>
      <c r="E85" t="s">
        <v>110</v>
      </c>
      <c r="F85" s="8" t="s">
        <v>240</v>
      </c>
    </row>
    <row r="86" spans="2:6" ht="30" x14ac:dyDescent="0.25">
      <c r="D86">
        <v>4</v>
      </c>
      <c r="E86" t="s">
        <v>37</v>
      </c>
      <c r="F86" s="8" t="s">
        <v>241</v>
      </c>
    </row>
    <row r="87" spans="2:6" ht="45" x14ac:dyDescent="0.25">
      <c r="D87">
        <v>12</v>
      </c>
      <c r="E87" t="s">
        <v>111</v>
      </c>
      <c r="F87" s="8" t="s">
        <v>221</v>
      </c>
    </row>
    <row r="88" spans="2:6" ht="30" x14ac:dyDescent="0.25">
      <c r="C88" t="s">
        <v>92</v>
      </c>
      <c r="D88">
        <v>16</v>
      </c>
      <c r="E88" t="s">
        <v>117</v>
      </c>
      <c r="F88" s="8" t="s">
        <v>242</v>
      </c>
    </row>
    <row r="89" spans="2:6" ht="30" x14ac:dyDescent="0.25">
      <c r="B89" t="s">
        <v>133</v>
      </c>
      <c r="C89" t="s">
        <v>134</v>
      </c>
      <c r="D89">
        <v>21</v>
      </c>
      <c r="E89" t="s">
        <v>28</v>
      </c>
      <c r="F89" s="8" t="s">
        <v>243</v>
      </c>
    </row>
    <row r="90" spans="2:6" ht="30" x14ac:dyDescent="0.25">
      <c r="C90" t="s">
        <v>100</v>
      </c>
      <c r="D90">
        <v>5</v>
      </c>
      <c r="E90" t="s">
        <v>118</v>
      </c>
      <c r="F90" s="8" t="s">
        <v>187</v>
      </c>
    </row>
    <row r="91" spans="2:6" ht="30" x14ac:dyDescent="0.25">
      <c r="C91" t="s">
        <v>95</v>
      </c>
      <c r="D91">
        <v>2</v>
      </c>
      <c r="E91" t="s">
        <v>108</v>
      </c>
      <c r="F91" s="8" t="s">
        <v>244</v>
      </c>
    </row>
    <row r="92" spans="2:6" ht="30" x14ac:dyDescent="0.25">
      <c r="C92" t="s">
        <v>36</v>
      </c>
      <c r="D92">
        <v>2</v>
      </c>
      <c r="E92" t="s">
        <v>37</v>
      </c>
      <c r="F92" s="8" t="s">
        <v>177</v>
      </c>
    </row>
    <row r="93" spans="2:6" ht="45" x14ac:dyDescent="0.25">
      <c r="D93">
        <v>11</v>
      </c>
      <c r="E93" t="s">
        <v>38</v>
      </c>
      <c r="F93" s="8" t="s">
        <v>178</v>
      </c>
    </row>
    <row r="94" spans="2:6" ht="60" x14ac:dyDescent="0.25">
      <c r="D94">
        <v>12</v>
      </c>
      <c r="E94" t="s">
        <v>43</v>
      </c>
      <c r="F94" s="8" t="s">
        <v>245</v>
      </c>
    </row>
    <row r="95" spans="2:6" ht="30" x14ac:dyDescent="0.25">
      <c r="C95" t="s">
        <v>23</v>
      </c>
      <c r="D95">
        <v>2</v>
      </c>
      <c r="E95" t="s">
        <v>51</v>
      </c>
      <c r="F95" s="8" t="s">
        <v>202</v>
      </c>
    </row>
    <row r="96" spans="2:6" ht="60" x14ac:dyDescent="0.25">
      <c r="C96" t="s">
        <v>42</v>
      </c>
      <c r="D96">
        <v>2</v>
      </c>
      <c r="E96" t="s">
        <v>119</v>
      </c>
      <c r="F96" s="8" t="s">
        <v>246</v>
      </c>
    </row>
    <row r="97" spans="3:6" ht="75" x14ac:dyDescent="0.25">
      <c r="D97">
        <v>12</v>
      </c>
      <c r="E97" t="s">
        <v>119</v>
      </c>
      <c r="F97" s="8" t="s">
        <v>247</v>
      </c>
    </row>
    <row r="98" spans="3:6" ht="60" x14ac:dyDescent="0.25">
      <c r="E98" t="s">
        <v>110</v>
      </c>
      <c r="F98" s="8" t="s">
        <v>248</v>
      </c>
    </row>
    <row r="99" spans="3:6" ht="45" x14ac:dyDescent="0.25">
      <c r="C99" t="s">
        <v>39</v>
      </c>
      <c r="D99">
        <v>2</v>
      </c>
      <c r="E99" t="s">
        <v>49</v>
      </c>
      <c r="F99" s="8" t="s">
        <v>249</v>
      </c>
    </row>
    <row r="100" spans="3:6" ht="60" x14ac:dyDescent="0.25">
      <c r="C100" t="s">
        <v>46</v>
      </c>
      <c r="D100">
        <v>3</v>
      </c>
      <c r="E100" t="s">
        <v>28</v>
      </c>
      <c r="F100" s="8" t="s">
        <v>250</v>
      </c>
    </row>
    <row r="101" spans="3:6" ht="45" x14ac:dyDescent="0.25">
      <c r="E101" t="s">
        <v>144</v>
      </c>
      <c r="F101" s="8" t="s">
        <v>251</v>
      </c>
    </row>
    <row r="102" spans="3:6" ht="45" x14ac:dyDescent="0.25">
      <c r="C102" t="s">
        <v>13</v>
      </c>
      <c r="D102">
        <v>5</v>
      </c>
      <c r="E102" t="s">
        <v>38</v>
      </c>
      <c r="F102" s="8" t="s">
        <v>252</v>
      </c>
    </row>
    <row r="103" spans="3:6" ht="90" x14ac:dyDescent="0.25">
      <c r="C103" t="s">
        <v>48</v>
      </c>
      <c r="D103">
        <v>1</v>
      </c>
      <c r="E103" t="s">
        <v>146</v>
      </c>
      <c r="F103" s="8" t="s">
        <v>253</v>
      </c>
    </row>
    <row r="104" spans="3:6" ht="45" x14ac:dyDescent="0.25">
      <c r="D104">
        <v>2</v>
      </c>
      <c r="E104" t="s">
        <v>43</v>
      </c>
      <c r="F104" s="8" t="s">
        <v>254</v>
      </c>
    </row>
    <row r="105" spans="3:6" ht="75" x14ac:dyDescent="0.25">
      <c r="C105" t="s">
        <v>91</v>
      </c>
      <c r="D105">
        <v>8</v>
      </c>
      <c r="E105" t="s">
        <v>143</v>
      </c>
      <c r="F105" s="8" t="s">
        <v>198</v>
      </c>
    </row>
    <row r="106" spans="3:6" ht="30" x14ac:dyDescent="0.25">
      <c r="D106">
        <v>13</v>
      </c>
      <c r="E106" t="s">
        <v>49</v>
      </c>
      <c r="F106" s="8" t="s">
        <v>255</v>
      </c>
    </row>
    <row r="107" spans="3:6" ht="30" x14ac:dyDescent="0.25">
      <c r="E107" t="s">
        <v>112</v>
      </c>
      <c r="F107" s="8" t="s">
        <v>256</v>
      </c>
    </row>
    <row r="108" spans="3:6" ht="30" x14ac:dyDescent="0.25">
      <c r="C108" t="s">
        <v>33</v>
      </c>
      <c r="D108">
        <v>4</v>
      </c>
      <c r="E108" t="s">
        <v>38</v>
      </c>
      <c r="F108" s="8" t="s">
        <v>257</v>
      </c>
    </row>
    <row r="109" spans="3:6" ht="45" x14ac:dyDescent="0.25">
      <c r="E109" t="s">
        <v>139</v>
      </c>
      <c r="F109" s="8" t="s">
        <v>258</v>
      </c>
    </row>
    <row r="110" spans="3:6" ht="45" x14ac:dyDescent="0.25">
      <c r="D110">
        <v>8</v>
      </c>
      <c r="E110" t="s">
        <v>110</v>
      </c>
      <c r="F110" s="8" t="s">
        <v>259</v>
      </c>
    </row>
    <row r="111" spans="3:6" ht="45" x14ac:dyDescent="0.25">
      <c r="E111" t="s">
        <v>112</v>
      </c>
      <c r="F111" s="8" t="s">
        <v>260</v>
      </c>
    </row>
    <row r="112" spans="3:6" ht="60" x14ac:dyDescent="0.25">
      <c r="E112" t="s">
        <v>111</v>
      </c>
      <c r="F112" s="8" t="s">
        <v>211</v>
      </c>
    </row>
    <row r="113" spans="3:6" ht="45" x14ac:dyDescent="0.25">
      <c r="D113">
        <v>9</v>
      </c>
      <c r="E113" t="s">
        <v>140</v>
      </c>
      <c r="F113" s="8" t="s">
        <v>261</v>
      </c>
    </row>
    <row r="114" spans="3:6" ht="45" x14ac:dyDescent="0.25">
      <c r="E114" t="s">
        <v>141</v>
      </c>
      <c r="F114" s="8" t="s">
        <v>262</v>
      </c>
    </row>
    <row r="115" spans="3:6" ht="45" x14ac:dyDescent="0.25">
      <c r="D115">
        <v>13</v>
      </c>
      <c r="E115" t="s">
        <v>124</v>
      </c>
      <c r="F115" s="8" t="s">
        <v>213</v>
      </c>
    </row>
    <row r="116" spans="3:6" ht="30" x14ac:dyDescent="0.25">
      <c r="D116">
        <v>22</v>
      </c>
      <c r="E116" t="s">
        <v>38</v>
      </c>
      <c r="F116" s="8" t="s">
        <v>263</v>
      </c>
    </row>
    <row r="117" spans="3:6" ht="45" x14ac:dyDescent="0.25">
      <c r="E117" t="s">
        <v>142</v>
      </c>
      <c r="F117" s="8" t="s">
        <v>264</v>
      </c>
    </row>
    <row r="118" spans="3:6" ht="30" x14ac:dyDescent="0.25">
      <c r="C118" t="s">
        <v>30</v>
      </c>
      <c r="D118">
        <v>1</v>
      </c>
      <c r="E118" t="s">
        <v>51</v>
      </c>
      <c r="F118" s="8" t="s">
        <v>265</v>
      </c>
    </row>
    <row r="119" spans="3:6" ht="45" x14ac:dyDescent="0.25">
      <c r="D119">
        <v>4</v>
      </c>
      <c r="E119" t="s">
        <v>31</v>
      </c>
      <c r="F119" s="8" t="s">
        <v>184</v>
      </c>
    </row>
    <row r="120" spans="3:6" ht="30" x14ac:dyDescent="0.25">
      <c r="D120">
        <v>5</v>
      </c>
      <c r="E120" t="s">
        <v>35</v>
      </c>
      <c r="F120" s="8" t="s">
        <v>266</v>
      </c>
    </row>
    <row r="121" spans="3:6" ht="45" x14ac:dyDescent="0.25">
      <c r="D121">
        <v>9</v>
      </c>
      <c r="E121" t="s">
        <v>117</v>
      </c>
      <c r="F121" s="8" t="s">
        <v>267</v>
      </c>
    </row>
    <row r="122" spans="3:6" ht="45" x14ac:dyDescent="0.25">
      <c r="E122" t="s">
        <v>114</v>
      </c>
      <c r="F122" s="8" t="s">
        <v>268</v>
      </c>
    </row>
    <row r="123" spans="3:6" ht="45" x14ac:dyDescent="0.25">
      <c r="C123" t="s">
        <v>50</v>
      </c>
      <c r="D123">
        <v>4</v>
      </c>
      <c r="E123" t="s">
        <v>28</v>
      </c>
      <c r="F123" s="8" t="s">
        <v>269</v>
      </c>
    </row>
    <row r="124" spans="3:6" ht="30" x14ac:dyDescent="0.25">
      <c r="E124" t="s">
        <v>38</v>
      </c>
      <c r="F124" s="8" t="s">
        <v>270</v>
      </c>
    </row>
    <row r="125" spans="3:6" ht="75" x14ac:dyDescent="0.25">
      <c r="D125">
        <v>8</v>
      </c>
      <c r="E125" t="s">
        <v>136</v>
      </c>
      <c r="F125" s="8" t="s">
        <v>271</v>
      </c>
    </row>
    <row r="126" spans="3:6" ht="45" x14ac:dyDescent="0.25">
      <c r="D126">
        <v>13</v>
      </c>
      <c r="E126" t="s">
        <v>137</v>
      </c>
      <c r="F126" s="8" t="s">
        <v>272</v>
      </c>
    </row>
    <row r="127" spans="3:6" ht="30" x14ac:dyDescent="0.25">
      <c r="E127" t="s">
        <v>138</v>
      </c>
      <c r="F127" s="8" t="s">
        <v>273</v>
      </c>
    </row>
    <row r="128" spans="3:6" ht="60" x14ac:dyDescent="0.25">
      <c r="E128" t="s">
        <v>153</v>
      </c>
      <c r="F128" s="8" t="s">
        <v>274</v>
      </c>
    </row>
    <row r="129" spans="2:6" ht="30" x14ac:dyDescent="0.25">
      <c r="E129" t="s">
        <v>122</v>
      </c>
      <c r="F129" s="8" t="s">
        <v>275</v>
      </c>
    </row>
    <row r="130" spans="2:6" ht="60" x14ac:dyDescent="0.25">
      <c r="D130">
        <v>15</v>
      </c>
      <c r="E130" t="s">
        <v>114</v>
      </c>
      <c r="F130" s="8" t="s">
        <v>276</v>
      </c>
    </row>
    <row r="131" spans="2:6" ht="45" x14ac:dyDescent="0.25">
      <c r="D131">
        <v>17</v>
      </c>
      <c r="E131" t="s">
        <v>31</v>
      </c>
      <c r="F131" s="8" t="s">
        <v>277</v>
      </c>
    </row>
    <row r="132" spans="2:6" x14ac:dyDescent="0.25">
      <c r="C132" t="s">
        <v>71</v>
      </c>
      <c r="D132">
        <v>109</v>
      </c>
      <c r="E132" t="s">
        <v>34</v>
      </c>
      <c r="F132" s="8" t="s">
        <v>278</v>
      </c>
    </row>
    <row r="133" spans="2:6" ht="45" x14ac:dyDescent="0.25">
      <c r="C133" t="s">
        <v>135</v>
      </c>
      <c r="D133">
        <v>3</v>
      </c>
      <c r="E133" t="s">
        <v>28</v>
      </c>
      <c r="F133" s="8" t="s">
        <v>279</v>
      </c>
    </row>
    <row r="134" spans="2:6" ht="30" x14ac:dyDescent="0.25">
      <c r="B134" t="s">
        <v>165</v>
      </c>
      <c r="C134" t="s">
        <v>91</v>
      </c>
      <c r="D134">
        <v>12</v>
      </c>
      <c r="E134" t="s">
        <v>142</v>
      </c>
      <c r="F134" s="8" t="s">
        <v>280</v>
      </c>
    </row>
    <row r="135" spans="2:6" ht="30" x14ac:dyDescent="0.25">
      <c r="D135">
        <v>14</v>
      </c>
      <c r="E135" t="s">
        <v>115</v>
      </c>
      <c r="F135" s="8" t="s">
        <v>237</v>
      </c>
    </row>
    <row r="136" spans="2:6" ht="30" x14ac:dyDescent="0.25">
      <c r="D136">
        <v>16</v>
      </c>
      <c r="E136" t="s">
        <v>37</v>
      </c>
      <c r="F136" s="8" t="s">
        <v>281</v>
      </c>
    </row>
    <row r="137" spans="2:6" ht="45" x14ac:dyDescent="0.25">
      <c r="B137" t="s">
        <v>158</v>
      </c>
      <c r="C137" t="s">
        <v>42</v>
      </c>
      <c r="D137">
        <v>12</v>
      </c>
      <c r="E137" t="s">
        <v>41</v>
      </c>
      <c r="F137" s="8" t="s">
        <v>180</v>
      </c>
    </row>
    <row r="138" spans="2:6" ht="60" x14ac:dyDescent="0.25">
      <c r="D138">
        <v>20</v>
      </c>
      <c r="E138" t="s">
        <v>38</v>
      </c>
      <c r="F138" s="8" t="s">
        <v>282</v>
      </c>
    </row>
    <row r="139" spans="2:6" ht="60" x14ac:dyDescent="0.25">
      <c r="C139" t="s">
        <v>46</v>
      </c>
      <c r="D139">
        <v>3</v>
      </c>
      <c r="E139" t="s">
        <v>47</v>
      </c>
      <c r="F139" s="8" t="s">
        <v>225</v>
      </c>
    </row>
    <row r="140" spans="2:6" x14ac:dyDescent="0.25">
      <c r="C140" t="s">
        <v>33</v>
      </c>
      <c r="D140">
        <v>8</v>
      </c>
      <c r="E140" t="s">
        <v>142</v>
      </c>
      <c r="F140" s="8" t="s">
        <v>283</v>
      </c>
    </row>
    <row r="141" spans="2:6" x14ac:dyDescent="0.25">
      <c r="D141">
        <v>10</v>
      </c>
      <c r="E141" t="s">
        <v>108</v>
      </c>
      <c r="F141" s="8" t="s">
        <v>284</v>
      </c>
    </row>
    <row r="142" spans="2:6" ht="30" x14ac:dyDescent="0.25">
      <c r="C142" t="s">
        <v>30</v>
      </c>
      <c r="D142">
        <v>3</v>
      </c>
      <c r="E142" t="s">
        <v>37</v>
      </c>
      <c r="F142" s="8" t="s">
        <v>285</v>
      </c>
    </row>
    <row r="143" spans="2:6" x14ac:dyDescent="0.25">
      <c r="D143">
        <v>5</v>
      </c>
      <c r="E143" t="s">
        <v>119</v>
      </c>
      <c r="F143" s="8" t="s">
        <v>286</v>
      </c>
    </row>
    <row r="144" spans="2:6" ht="30" x14ac:dyDescent="0.25">
      <c r="C144" t="s">
        <v>50</v>
      </c>
      <c r="D144">
        <v>8</v>
      </c>
      <c r="E144" t="s">
        <v>142</v>
      </c>
      <c r="F144" s="8" t="s">
        <v>287</v>
      </c>
    </row>
    <row r="145" spans="1:6" ht="45" x14ac:dyDescent="0.25">
      <c r="D145">
        <v>12</v>
      </c>
      <c r="E145" t="s">
        <v>111</v>
      </c>
      <c r="F145" s="8" t="s">
        <v>221</v>
      </c>
    </row>
    <row r="146" spans="1:6" ht="45" x14ac:dyDescent="0.25">
      <c r="C146" t="s">
        <v>135</v>
      </c>
      <c r="D146">
        <v>3</v>
      </c>
      <c r="E146" t="s">
        <v>49</v>
      </c>
      <c r="F146" s="8" t="s">
        <v>288</v>
      </c>
    </row>
    <row r="147" spans="1:6" x14ac:dyDescent="0.25">
      <c r="A147" t="s">
        <v>166</v>
      </c>
      <c r="B147" t="s">
        <v>166</v>
      </c>
      <c r="C147" t="s">
        <v>166</v>
      </c>
      <c r="D147" t="s">
        <v>166</v>
      </c>
      <c r="E147" t="s">
        <v>166</v>
      </c>
    </row>
    <row r="148" spans="1:6" x14ac:dyDescent="0.25">
      <c r="A148" t="s">
        <v>167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L841"/>
  <sheetViews>
    <sheetView tabSelected="1" topLeftCell="A286" zoomScale="80" zoomScaleNormal="80" workbookViewId="0">
      <selection activeCell="H290" sqref="H290"/>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47" style="6" customWidth="1"/>
    <col min="8" max="8" width="14.5703125" style="4" customWidth="1"/>
    <col min="9" max="9" width="13.28515625" style="4" customWidth="1"/>
    <col min="10" max="10" width="53.140625" style="4" customWidth="1"/>
    <col min="11" max="11" width="15.7109375" customWidth="1"/>
  </cols>
  <sheetData>
    <row r="1" spans="1:12" s="8" customFormat="1" ht="30" x14ac:dyDescent="0.25">
      <c r="A1" s="11" t="s">
        <v>0</v>
      </c>
      <c r="B1" s="11" t="s">
        <v>1</v>
      </c>
      <c r="C1" s="11" t="s">
        <v>2</v>
      </c>
      <c r="D1" s="11" t="s">
        <v>3</v>
      </c>
      <c r="E1" s="11" t="s">
        <v>4</v>
      </c>
      <c r="F1" s="12" t="s">
        <v>5</v>
      </c>
      <c r="G1" s="11" t="s">
        <v>6</v>
      </c>
      <c r="H1" s="11" t="s">
        <v>7</v>
      </c>
      <c r="I1" s="11" t="s">
        <v>8</v>
      </c>
      <c r="J1" s="11" t="s">
        <v>9</v>
      </c>
      <c r="K1" s="13" t="s">
        <v>10</v>
      </c>
      <c r="L1" s="13" t="s">
        <v>321</v>
      </c>
    </row>
    <row r="2" spans="1:12" ht="90" x14ac:dyDescent="0.25">
      <c r="A2" s="2">
        <f>IF(BD_Versos[[#This Row],[Tema_Principal]]="","",ROW(BD_Versos[[#This Row],[Tema_Principal]])-1)</f>
        <v>1</v>
      </c>
      <c r="B2" s="3" t="s">
        <v>312</v>
      </c>
      <c r="C2" s="2" t="s">
        <v>313</v>
      </c>
      <c r="D2" s="4" t="s">
        <v>13</v>
      </c>
      <c r="E2" s="4">
        <v>20</v>
      </c>
      <c r="F2" s="5">
        <v>24</v>
      </c>
      <c r="G2" s="6" t="s">
        <v>349</v>
      </c>
      <c r="H2" s="4">
        <v>2</v>
      </c>
      <c r="J2" s="4" t="s">
        <v>315</v>
      </c>
      <c r="K2" s="4"/>
      <c r="L2" s="4">
        <v>1</v>
      </c>
    </row>
    <row r="3" spans="1:12" ht="150" x14ac:dyDescent="0.25">
      <c r="A3" s="2">
        <f>IF(BD_Versos[[#This Row],[Tema_Principal]]="","",ROW(BD_Versos[[#This Row],[Tema_Principal]])-1)</f>
        <v>2</v>
      </c>
      <c r="B3" s="3" t="s">
        <v>312</v>
      </c>
      <c r="C3" s="2" t="s">
        <v>313</v>
      </c>
      <c r="D3" s="4" t="s">
        <v>15</v>
      </c>
      <c r="E3" s="4">
        <v>9</v>
      </c>
      <c r="F3" s="5" t="s">
        <v>16</v>
      </c>
      <c r="G3" s="6" t="s">
        <v>350</v>
      </c>
      <c r="H3" s="4">
        <v>3</v>
      </c>
      <c r="I3" s="4">
        <v>1</v>
      </c>
      <c r="J3" s="4" t="s">
        <v>320</v>
      </c>
      <c r="K3" s="4"/>
      <c r="L3" s="4">
        <v>1</v>
      </c>
    </row>
    <row r="4" spans="1:12" ht="75" x14ac:dyDescent="0.25">
      <c r="A4" s="2">
        <f>IF(BD_Versos[[#This Row],[Tema_Principal]]="","",ROW(BD_Versos[[#This Row],[Tema_Principal]])-1)</f>
        <v>3</v>
      </c>
      <c r="B4" s="3" t="s">
        <v>312</v>
      </c>
      <c r="C4" s="2" t="s">
        <v>313</v>
      </c>
      <c r="D4" s="4" t="s">
        <v>18</v>
      </c>
      <c r="E4" s="4">
        <v>2</v>
      </c>
      <c r="F4" s="5">
        <v>2</v>
      </c>
      <c r="G4" s="6" t="s">
        <v>351</v>
      </c>
      <c r="H4" s="4">
        <v>4</v>
      </c>
      <c r="I4" s="4">
        <v>2</v>
      </c>
      <c r="J4" s="4" t="s">
        <v>316</v>
      </c>
      <c r="K4" s="4"/>
      <c r="L4" s="4">
        <v>1</v>
      </c>
    </row>
    <row r="5" spans="1:12" ht="60" x14ac:dyDescent="0.25">
      <c r="A5" s="2">
        <f>IF(BD_Versos[[#This Row],[Tema_Principal]]="","",ROW(BD_Versos[[#This Row],[Tema_Principal]])-1)</f>
        <v>4</v>
      </c>
      <c r="B5" s="3" t="s">
        <v>312</v>
      </c>
      <c r="C5" s="2" t="s">
        <v>313</v>
      </c>
      <c r="D5" s="4" t="s">
        <v>20</v>
      </c>
      <c r="E5" s="4">
        <v>2</v>
      </c>
      <c r="F5" s="5">
        <v>16</v>
      </c>
      <c r="G5" s="6" t="s">
        <v>352</v>
      </c>
      <c r="H5" s="4">
        <v>5</v>
      </c>
      <c r="I5" s="4">
        <v>3</v>
      </c>
      <c r="J5" s="4" t="s">
        <v>317</v>
      </c>
      <c r="K5" s="4"/>
      <c r="L5" s="4">
        <v>1</v>
      </c>
    </row>
    <row r="6" spans="1:12" ht="45" x14ac:dyDescent="0.25">
      <c r="A6" s="2">
        <f>IF(BD_Versos[[#This Row],[Tema_Principal]]="","",ROW(BD_Versos[[#This Row],[Tema_Principal]])-1)</f>
        <v>5</v>
      </c>
      <c r="B6" s="3" t="s">
        <v>312</v>
      </c>
      <c r="C6" s="2" t="s">
        <v>313</v>
      </c>
      <c r="D6" s="4" t="s">
        <v>20</v>
      </c>
      <c r="E6" s="4">
        <v>3</v>
      </c>
      <c r="F6" s="5">
        <v>14</v>
      </c>
      <c r="G6" s="6" t="s">
        <v>353</v>
      </c>
      <c r="H6" s="4">
        <v>6</v>
      </c>
      <c r="I6" s="4">
        <v>4</v>
      </c>
      <c r="J6" s="4" t="s">
        <v>320</v>
      </c>
      <c r="K6" s="4"/>
      <c r="L6" s="4">
        <v>1</v>
      </c>
    </row>
    <row r="7" spans="1:12" ht="45" x14ac:dyDescent="0.25">
      <c r="A7" s="2">
        <f>IF(BD_Versos[[#This Row],[Tema_Principal]]="","",ROW(BD_Versos[[#This Row],[Tema_Principal]])-1)</f>
        <v>6</v>
      </c>
      <c r="B7" s="3" t="s">
        <v>312</v>
      </c>
      <c r="C7" s="2" t="s">
        <v>313</v>
      </c>
      <c r="D7" s="4" t="s">
        <v>23</v>
      </c>
      <c r="E7" s="4">
        <v>2</v>
      </c>
      <c r="F7" s="5">
        <v>5</v>
      </c>
      <c r="G7" s="6" t="s">
        <v>354</v>
      </c>
      <c r="H7" s="4">
        <v>7</v>
      </c>
      <c r="I7" s="4">
        <v>5</v>
      </c>
      <c r="J7" s="4" t="s">
        <v>314</v>
      </c>
      <c r="K7" s="4"/>
      <c r="L7" s="4">
        <v>1</v>
      </c>
    </row>
    <row r="8" spans="1:12" ht="90" x14ac:dyDescent="0.25">
      <c r="A8" s="2">
        <f>IF(BD_Versos[[#This Row],[Tema_Principal]]="","",ROW(BD_Versos[[#This Row],[Tema_Principal]])-1)</f>
        <v>7</v>
      </c>
      <c r="B8" s="3" t="s">
        <v>312</v>
      </c>
      <c r="C8" s="2" t="s">
        <v>313</v>
      </c>
      <c r="D8" s="4" t="s">
        <v>23</v>
      </c>
      <c r="E8" s="4">
        <v>4</v>
      </c>
      <c r="F8" s="5" t="s">
        <v>25</v>
      </c>
      <c r="G8" s="6" t="s">
        <v>355</v>
      </c>
      <c r="H8" s="4">
        <v>8</v>
      </c>
      <c r="I8" s="4">
        <v>6</v>
      </c>
      <c r="J8" s="4" t="s">
        <v>318</v>
      </c>
      <c r="K8" s="4"/>
      <c r="L8" s="4">
        <v>1</v>
      </c>
    </row>
    <row r="9" spans="1:12" ht="79.5" customHeight="1" x14ac:dyDescent="0.25">
      <c r="A9" s="2">
        <f>IF(BD_Versos[[#This Row],[Tema_Principal]]="","",ROW(BD_Versos[[#This Row],[Tema_Principal]])-1)</f>
        <v>8</v>
      </c>
      <c r="B9" s="3" t="s">
        <v>312</v>
      </c>
      <c r="C9" s="2" t="s">
        <v>313</v>
      </c>
      <c r="D9" s="4" t="s">
        <v>27</v>
      </c>
      <c r="E9" s="4">
        <v>12</v>
      </c>
      <c r="F9" s="5" t="s">
        <v>28</v>
      </c>
      <c r="G9" s="6" t="s">
        <v>356</v>
      </c>
      <c r="I9" s="4">
        <v>7</v>
      </c>
      <c r="J9" s="4" t="s">
        <v>319</v>
      </c>
      <c r="K9" s="4"/>
      <c r="L9" s="4">
        <v>1</v>
      </c>
    </row>
    <row r="10" spans="1:12" ht="59.1" customHeight="1" x14ac:dyDescent="0.25">
      <c r="A10" s="2">
        <f>IF(BD_Versos[[#This Row],[Tema_Principal]]="","",ROW(BD_Versos[[#This Row],[Tema_Principal]])-1)</f>
        <v>9</v>
      </c>
      <c r="B10" s="3" t="s">
        <v>345</v>
      </c>
      <c r="C10" s="3" t="s">
        <v>29</v>
      </c>
      <c r="D10" s="4" t="s">
        <v>30</v>
      </c>
      <c r="E10" s="4">
        <v>4</v>
      </c>
      <c r="F10" s="5" t="s">
        <v>31</v>
      </c>
      <c r="G10" s="6" t="s">
        <v>357</v>
      </c>
      <c r="H10" s="4">
        <f>A11</f>
        <v>10</v>
      </c>
      <c r="J10" s="4" t="s">
        <v>322</v>
      </c>
      <c r="K10" s="4"/>
      <c r="L10" s="4">
        <v>1</v>
      </c>
    </row>
    <row r="11" spans="1:12" ht="66.599999999999994" customHeight="1" x14ac:dyDescent="0.25">
      <c r="A11" s="2">
        <f>IF(BD_Versos[[#This Row],[Tema_Principal]]="","",ROW(BD_Versos[[#This Row],[Tema_Principal]])-1)</f>
        <v>10</v>
      </c>
      <c r="B11" s="3" t="s">
        <v>345</v>
      </c>
      <c r="C11" s="3" t="s">
        <v>29</v>
      </c>
      <c r="D11" s="4" t="s">
        <v>30</v>
      </c>
      <c r="E11" s="4">
        <v>8</v>
      </c>
      <c r="F11" s="5" t="s">
        <v>32</v>
      </c>
      <c r="G11" s="6" t="s">
        <v>358</v>
      </c>
      <c r="H11" s="4">
        <f t="shared" ref="H11:H18" si="0">A12</f>
        <v>11</v>
      </c>
      <c r="I11" s="4">
        <f>A10</f>
        <v>9</v>
      </c>
      <c r="J11" s="4" t="s">
        <v>323</v>
      </c>
      <c r="K11" s="4"/>
      <c r="L11" s="4">
        <v>1</v>
      </c>
    </row>
    <row r="12" spans="1:12" ht="47.1" customHeight="1" x14ac:dyDescent="0.25">
      <c r="A12" s="2">
        <f>IF(BD_Versos[[#This Row],[Tema_Principal]]="","",ROW(BD_Versos[[#This Row],[Tema_Principal]])-1)</f>
        <v>11</v>
      </c>
      <c r="B12" s="3" t="s">
        <v>345</v>
      </c>
      <c r="C12" s="3" t="s">
        <v>29</v>
      </c>
      <c r="D12" s="4" t="s">
        <v>33</v>
      </c>
      <c r="E12" s="4">
        <v>4</v>
      </c>
      <c r="F12" s="5" t="s">
        <v>34</v>
      </c>
      <c r="G12" s="6" t="s">
        <v>359</v>
      </c>
      <c r="H12" s="4">
        <f t="shared" si="0"/>
        <v>12</v>
      </c>
      <c r="I12" s="4">
        <f t="shared" ref="I12:I19" si="1">A11</f>
        <v>10</v>
      </c>
      <c r="J12" s="4" t="s">
        <v>324</v>
      </c>
      <c r="K12" s="4"/>
      <c r="L12" s="4">
        <v>1</v>
      </c>
    </row>
    <row r="13" spans="1:12" ht="72.599999999999994" customHeight="1" x14ac:dyDescent="0.25">
      <c r="A13" s="2">
        <f>IF(BD_Versos[[#This Row],[Tema_Principal]]="","",ROW(BD_Versos[[#This Row],[Tema_Principal]])-1)</f>
        <v>12</v>
      </c>
      <c r="B13" s="3" t="s">
        <v>345</v>
      </c>
      <c r="C13" s="3" t="s">
        <v>29</v>
      </c>
      <c r="D13" s="4" t="s">
        <v>15</v>
      </c>
      <c r="E13" s="4">
        <v>7</v>
      </c>
      <c r="F13" s="5" t="s">
        <v>35</v>
      </c>
      <c r="G13" s="6" t="s">
        <v>360</v>
      </c>
      <c r="H13" s="4">
        <f t="shared" si="0"/>
        <v>13</v>
      </c>
      <c r="I13" s="4">
        <f t="shared" si="1"/>
        <v>11</v>
      </c>
      <c r="J13" s="4" t="s">
        <v>325</v>
      </c>
      <c r="K13" s="4"/>
      <c r="L13" s="4">
        <v>1</v>
      </c>
    </row>
    <row r="14" spans="1:12" ht="75.95" customHeight="1" x14ac:dyDescent="0.25">
      <c r="A14" s="2">
        <f>IF(BD_Versos[[#This Row],[Tema_Principal]]="","",ROW(BD_Versos[[#This Row],[Tema_Principal]])-1)</f>
        <v>13</v>
      </c>
      <c r="B14" s="3" t="s">
        <v>345</v>
      </c>
      <c r="C14" s="3" t="s">
        <v>29</v>
      </c>
      <c r="D14" s="4" t="s">
        <v>36</v>
      </c>
      <c r="E14" s="4">
        <v>2</v>
      </c>
      <c r="F14" s="5" t="s">
        <v>37</v>
      </c>
      <c r="G14" s="6" t="s">
        <v>361</v>
      </c>
      <c r="H14" s="4">
        <f t="shared" si="0"/>
        <v>14</v>
      </c>
      <c r="I14" s="4">
        <f t="shared" si="1"/>
        <v>12</v>
      </c>
      <c r="J14" s="4" t="s">
        <v>326</v>
      </c>
      <c r="K14" s="4"/>
      <c r="L14" s="4">
        <v>1</v>
      </c>
    </row>
    <row r="15" spans="1:12" ht="79.5" customHeight="1" x14ac:dyDescent="0.25">
      <c r="A15" s="2">
        <f>IF(BD_Versos[[#This Row],[Tema_Principal]]="","",ROW(BD_Versos[[#This Row],[Tema_Principal]])-1)</f>
        <v>14</v>
      </c>
      <c r="B15" s="3" t="s">
        <v>345</v>
      </c>
      <c r="C15" s="3" t="s">
        <v>29</v>
      </c>
      <c r="D15" s="4" t="s">
        <v>36</v>
      </c>
      <c r="E15" s="4">
        <v>11</v>
      </c>
      <c r="F15" s="5" t="s">
        <v>38</v>
      </c>
      <c r="G15" s="6" t="s">
        <v>362</v>
      </c>
      <c r="H15" s="4">
        <f t="shared" si="0"/>
        <v>15</v>
      </c>
      <c r="I15" s="4">
        <f t="shared" si="1"/>
        <v>13</v>
      </c>
      <c r="J15" s="4" t="s">
        <v>327</v>
      </c>
      <c r="K15" s="4"/>
      <c r="L15" s="4">
        <v>1</v>
      </c>
    </row>
    <row r="16" spans="1:12" ht="52.5" customHeight="1" x14ac:dyDescent="0.25">
      <c r="A16" s="2">
        <f>IF(BD_Versos[[#This Row],[Tema_Principal]]="","",ROW(BD_Versos[[#This Row],[Tema_Principal]])-1)</f>
        <v>15</v>
      </c>
      <c r="B16" s="3" t="s">
        <v>345</v>
      </c>
      <c r="C16" s="3" t="s">
        <v>328</v>
      </c>
      <c r="D16" s="4" t="s">
        <v>39</v>
      </c>
      <c r="E16" s="4">
        <v>6</v>
      </c>
      <c r="F16" s="5" t="s">
        <v>37</v>
      </c>
      <c r="G16" s="6" t="s">
        <v>363</v>
      </c>
      <c r="H16" s="4">
        <f t="shared" si="0"/>
        <v>16</v>
      </c>
      <c r="I16" s="4">
        <f t="shared" si="1"/>
        <v>14</v>
      </c>
      <c r="J16" s="4" t="s">
        <v>329</v>
      </c>
      <c r="K16" s="4"/>
      <c r="L16" s="4">
        <v>1</v>
      </c>
    </row>
    <row r="17" spans="1:12" ht="30.6" customHeight="1" x14ac:dyDescent="0.25">
      <c r="A17" s="2">
        <f>IF(BD_Versos[[#This Row],[Tema_Principal]]="","",ROW(BD_Versos[[#This Row],[Tema_Principal]])-1)</f>
        <v>16</v>
      </c>
      <c r="B17" s="3" t="s">
        <v>345</v>
      </c>
      <c r="C17" s="3" t="s">
        <v>330</v>
      </c>
      <c r="D17" s="4" t="s">
        <v>40</v>
      </c>
      <c r="E17" s="4">
        <v>2</v>
      </c>
      <c r="F17" s="5" t="s">
        <v>41</v>
      </c>
      <c r="G17" s="6" t="s">
        <v>364</v>
      </c>
      <c r="H17" s="4">
        <f t="shared" si="0"/>
        <v>17</v>
      </c>
      <c r="I17" s="4">
        <f t="shared" si="1"/>
        <v>15</v>
      </c>
      <c r="J17" s="4" t="s">
        <v>331</v>
      </c>
      <c r="K17" s="4"/>
      <c r="L17" s="4">
        <v>1</v>
      </c>
    </row>
    <row r="18" spans="1:12" ht="75.75" customHeight="1" x14ac:dyDescent="0.25">
      <c r="A18" s="2">
        <f>IF(BD_Versos[[#This Row],[Tema_Principal]]="","",ROW(BD_Versos[[#This Row],[Tema_Principal]])-1)</f>
        <v>17</v>
      </c>
      <c r="B18" s="3" t="s">
        <v>345</v>
      </c>
      <c r="C18" s="3" t="s">
        <v>330</v>
      </c>
      <c r="D18" s="4" t="s">
        <v>42</v>
      </c>
      <c r="E18" s="4">
        <v>12</v>
      </c>
      <c r="F18" s="5" t="s">
        <v>41</v>
      </c>
      <c r="G18" s="6" t="s">
        <v>365</v>
      </c>
      <c r="H18" s="4">
        <f t="shared" si="0"/>
        <v>18</v>
      </c>
      <c r="I18" s="4">
        <f t="shared" si="1"/>
        <v>16</v>
      </c>
      <c r="J18" s="4" t="s">
        <v>332</v>
      </c>
      <c r="K18" s="4"/>
      <c r="L18" s="4">
        <v>1</v>
      </c>
    </row>
    <row r="19" spans="1:12" ht="42.6" customHeight="1" x14ac:dyDescent="0.25">
      <c r="A19" s="2">
        <f>IF(BD_Versos[[#This Row],[Tema_Principal]]="","",ROW(BD_Versos[[#This Row],[Tema_Principal]])-1)</f>
        <v>18</v>
      </c>
      <c r="B19" s="3" t="s">
        <v>345</v>
      </c>
      <c r="C19" s="2" t="s">
        <v>333</v>
      </c>
      <c r="D19" s="4" t="s">
        <v>42</v>
      </c>
      <c r="E19" s="4">
        <v>20</v>
      </c>
      <c r="F19" s="5" t="s">
        <v>43</v>
      </c>
      <c r="G19" s="6" t="s">
        <v>366</v>
      </c>
      <c r="I19" s="4">
        <f t="shared" si="1"/>
        <v>17</v>
      </c>
      <c r="J19" s="4" t="s">
        <v>334</v>
      </c>
      <c r="K19" s="4"/>
      <c r="L19" s="4">
        <v>1</v>
      </c>
    </row>
    <row r="20" spans="1:12" ht="75" x14ac:dyDescent="0.25">
      <c r="A20" s="2">
        <f>IF(BD_Versos[[#This Row],[Tema_Principal]]="","",ROW(BD_Versos[[#This Row],[Tema_Principal]])-1)</f>
        <v>19</v>
      </c>
      <c r="B20" s="3" t="s">
        <v>345</v>
      </c>
      <c r="C20" s="3" t="s">
        <v>335</v>
      </c>
      <c r="D20" s="4" t="s">
        <v>46</v>
      </c>
      <c r="E20" s="4">
        <v>3</v>
      </c>
      <c r="F20" s="5" t="s">
        <v>47</v>
      </c>
      <c r="G20" s="6" t="s">
        <v>367</v>
      </c>
      <c r="H20" s="4">
        <f>A21</f>
        <v>20</v>
      </c>
      <c r="J20" s="4" t="s">
        <v>336</v>
      </c>
      <c r="K20" s="4">
        <v>3479</v>
      </c>
      <c r="L20" s="4">
        <v>1</v>
      </c>
    </row>
    <row r="21" spans="1:12" ht="45" x14ac:dyDescent="0.25">
      <c r="A21" s="2">
        <f>IF(BD_Versos[[#This Row],[Tema_Principal]]="","",ROW(BD_Versos[[#This Row],[Tema_Principal]])-1)</f>
        <v>20</v>
      </c>
      <c r="B21" s="3" t="s">
        <v>345</v>
      </c>
      <c r="C21" s="3" t="s">
        <v>330</v>
      </c>
      <c r="D21" s="4" t="s">
        <v>48</v>
      </c>
      <c r="E21" s="4">
        <v>1</v>
      </c>
      <c r="F21" s="5" t="s">
        <v>34</v>
      </c>
      <c r="G21" s="6" t="s">
        <v>368</v>
      </c>
      <c r="H21" s="4">
        <f t="shared" ref="H21:H29" si="2">A22</f>
        <v>21</v>
      </c>
      <c r="I21" s="4">
        <f>A20</f>
        <v>19</v>
      </c>
      <c r="J21" s="4" t="s">
        <v>343</v>
      </c>
      <c r="K21" s="4">
        <v>3479</v>
      </c>
      <c r="L21" s="4">
        <v>1</v>
      </c>
    </row>
    <row r="22" spans="1:12" ht="45" x14ac:dyDescent="0.25">
      <c r="A22" s="2">
        <f>IF(BD_Versos[[#This Row],[Tema_Principal]]="","",ROW(BD_Versos[[#This Row],[Tema_Principal]])-1)</f>
        <v>21</v>
      </c>
      <c r="B22" s="3" t="s">
        <v>345</v>
      </c>
      <c r="C22" s="3" t="s">
        <v>330</v>
      </c>
      <c r="D22" s="4" t="s">
        <v>48</v>
      </c>
      <c r="E22" s="4">
        <v>2</v>
      </c>
      <c r="F22" s="5" t="s">
        <v>49</v>
      </c>
      <c r="G22" s="6" t="s">
        <v>369</v>
      </c>
      <c r="H22" s="4">
        <f t="shared" si="2"/>
        <v>22</v>
      </c>
      <c r="I22" s="4">
        <f t="shared" ref="I22:I30" si="3">A21</f>
        <v>20</v>
      </c>
      <c r="J22" s="4" t="s">
        <v>337</v>
      </c>
      <c r="K22" s="4">
        <v>3479</v>
      </c>
      <c r="L22" s="4">
        <v>1</v>
      </c>
    </row>
    <row r="23" spans="1:12" ht="45" x14ac:dyDescent="0.25">
      <c r="A23" s="2">
        <f>IF(BD_Versos[[#This Row],[Tema_Principal]]="","",ROW(BD_Versos[[#This Row],[Tema_Principal]])-1)</f>
        <v>22</v>
      </c>
      <c r="B23" s="3" t="s">
        <v>345</v>
      </c>
      <c r="C23" s="3" t="s">
        <v>339</v>
      </c>
      <c r="D23" s="4" t="s">
        <v>50</v>
      </c>
      <c r="E23" s="4">
        <v>12</v>
      </c>
      <c r="F23" s="5" t="s">
        <v>51</v>
      </c>
      <c r="G23" s="6" t="s">
        <v>370</v>
      </c>
      <c r="H23" s="4">
        <f t="shared" si="2"/>
        <v>23</v>
      </c>
      <c r="I23" s="4">
        <f t="shared" si="3"/>
        <v>21</v>
      </c>
      <c r="J23" s="4" t="s">
        <v>338</v>
      </c>
      <c r="K23" s="4">
        <v>3479</v>
      </c>
      <c r="L23" s="4">
        <v>1</v>
      </c>
    </row>
    <row r="24" spans="1:12" ht="60" x14ac:dyDescent="0.25">
      <c r="A24" s="2">
        <f>IF(BD_Versos[[#This Row],[Tema_Principal]]="","",ROW(BD_Versos[[#This Row],[Tema_Principal]])-1)</f>
        <v>23</v>
      </c>
      <c r="B24" s="3" t="s">
        <v>345</v>
      </c>
      <c r="C24" s="3" t="s">
        <v>339</v>
      </c>
      <c r="D24" s="4" t="s">
        <v>33</v>
      </c>
      <c r="E24" s="4">
        <v>11</v>
      </c>
      <c r="F24" s="5" t="s">
        <v>108</v>
      </c>
      <c r="G24" s="6" t="s">
        <v>371</v>
      </c>
      <c r="H24" s="4">
        <f t="shared" si="2"/>
        <v>24</v>
      </c>
      <c r="I24" s="4">
        <f t="shared" si="3"/>
        <v>22</v>
      </c>
      <c r="J24" s="4" t="s">
        <v>338</v>
      </c>
      <c r="K24" s="4">
        <v>3479</v>
      </c>
      <c r="L24" s="4">
        <v>1</v>
      </c>
    </row>
    <row r="25" spans="1:12" ht="30" x14ac:dyDescent="0.25">
      <c r="A25" s="2">
        <f>IF(BD_Versos[[#This Row],[Tema_Principal]]="","",ROW(BD_Versos[[#This Row],[Tema_Principal]])-1)</f>
        <v>24</v>
      </c>
      <c r="B25" s="3" t="s">
        <v>345</v>
      </c>
      <c r="C25" s="2" t="s">
        <v>29</v>
      </c>
      <c r="D25" s="4" t="s">
        <v>36</v>
      </c>
      <c r="E25" s="4">
        <v>11</v>
      </c>
      <c r="F25" s="5" t="s">
        <v>47</v>
      </c>
      <c r="G25" s="6" t="s">
        <v>372</v>
      </c>
      <c r="H25" s="4">
        <f t="shared" si="2"/>
        <v>25</v>
      </c>
      <c r="I25" s="4">
        <f t="shared" si="3"/>
        <v>23</v>
      </c>
      <c r="J25" s="4" t="s">
        <v>340</v>
      </c>
      <c r="K25" s="4">
        <v>3479</v>
      </c>
      <c r="L25" s="4">
        <v>1</v>
      </c>
    </row>
    <row r="26" spans="1:12" ht="30" x14ac:dyDescent="0.25">
      <c r="A26" s="2">
        <f>IF(BD_Versos[[#This Row],[Tema_Principal]]="","",ROW(BD_Versos[[#This Row],[Tema_Principal]])-1)</f>
        <v>25</v>
      </c>
      <c r="B26" s="3" t="s">
        <v>345</v>
      </c>
      <c r="C26" s="2" t="s">
        <v>29</v>
      </c>
      <c r="D26" s="4" t="s">
        <v>96</v>
      </c>
      <c r="E26" s="4">
        <v>5</v>
      </c>
      <c r="F26" s="5" t="s">
        <v>31</v>
      </c>
      <c r="G26" s="6" t="s">
        <v>373</v>
      </c>
      <c r="H26" s="4">
        <f t="shared" si="2"/>
        <v>26</v>
      </c>
      <c r="I26" s="4">
        <f t="shared" si="3"/>
        <v>24</v>
      </c>
      <c r="J26" s="4" t="s">
        <v>341</v>
      </c>
      <c r="K26" s="4">
        <v>3479</v>
      </c>
      <c r="L26" s="4">
        <v>1</v>
      </c>
    </row>
    <row r="27" spans="1:12" ht="75" x14ac:dyDescent="0.25">
      <c r="A27" s="2">
        <f>IF(BD_Versos[[#This Row],[Tema_Principal]]="","",ROW(BD_Versos[[#This Row],[Tema_Principal]])-1)</f>
        <v>26</v>
      </c>
      <c r="B27" s="3" t="s">
        <v>345</v>
      </c>
      <c r="D27" s="4" t="s">
        <v>105</v>
      </c>
      <c r="E27" s="4">
        <v>1</v>
      </c>
      <c r="F27" s="5" t="s">
        <v>41</v>
      </c>
      <c r="G27" s="6" t="s">
        <v>374</v>
      </c>
      <c r="H27" s="4">
        <f t="shared" si="2"/>
        <v>27</v>
      </c>
      <c r="I27" s="4">
        <f t="shared" si="3"/>
        <v>25</v>
      </c>
      <c r="K27" s="4">
        <v>3479</v>
      </c>
      <c r="L27" s="4">
        <v>1</v>
      </c>
    </row>
    <row r="28" spans="1:12" ht="45" x14ac:dyDescent="0.25">
      <c r="A28" s="2">
        <f>IF(BD_Versos[[#This Row],[Tema_Principal]]="","",ROW(BD_Versos[[#This Row],[Tema_Principal]])-1)</f>
        <v>27</v>
      </c>
      <c r="B28" s="3" t="s">
        <v>345</v>
      </c>
      <c r="C28" s="3" t="s">
        <v>330</v>
      </c>
      <c r="D28" s="4" t="s">
        <v>42</v>
      </c>
      <c r="E28" s="4">
        <v>9</v>
      </c>
      <c r="F28" s="5" t="s">
        <v>37</v>
      </c>
      <c r="G28" s="6" t="s">
        <v>375</v>
      </c>
      <c r="H28" s="4">
        <f t="shared" si="2"/>
        <v>28</v>
      </c>
      <c r="I28" s="4">
        <f t="shared" si="3"/>
        <v>26</v>
      </c>
      <c r="J28" s="4" t="s">
        <v>342</v>
      </c>
      <c r="K28" s="4">
        <v>3479</v>
      </c>
      <c r="L28" s="4">
        <v>1</v>
      </c>
    </row>
    <row r="29" spans="1:12" ht="129.6" customHeight="1" x14ac:dyDescent="0.25">
      <c r="A29" s="2">
        <f>IF(BD_Versos[[#This Row],[Tema_Principal]]="","",ROW(BD_Versos[[#This Row],[Tema_Principal]])-1)</f>
        <v>28</v>
      </c>
      <c r="B29" s="3" t="s">
        <v>345</v>
      </c>
      <c r="C29" s="2" t="s">
        <v>333</v>
      </c>
      <c r="D29" s="4" t="s">
        <v>42</v>
      </c>
      <c r="E29" s="4">
        <v>20</v>
      </c>
      <c r="F29" s="5" t="s">
        <v>49</v>
      </c>
      <c r="G29" s="6" t="s">
        <v>376</v>
      </c>
      <c r="H29" s="4">
        <f t="shared" si="2"/>
        <v>29</v>
      </c>
      <c r="I29" s="4">
        <f t="shared" si="3"/>
        <v>27</v>
      </c>
      <c r="J29" s="4" t="s">
        <v>344</v>
      </c>
      <c r="K29" s="4">
        <v>3479</v>
      </c>
      <c r="L29" s="4">
        <v>1</v>
      </c>
    </row>
    <row r="30" spans="1:12" ht="45" x14ac:dyDescent="0.25">
      <c r="A30" s="2">
        <f>IF(BD_Versos[[#This Row],[Tema_Principal]]="","",ROW(BD_Versos[[#This Row],[Tema_Principal]])-1)</f>
        <v>29</v>
      </c>
      <c r="B30" s="3" t="s">
        <v>345</v>
      </c>
      <c r="C30" s="2" t="s">
        <v>330</v>
      </c>
      <c r="D30" s="4" t="s">
        <v>46</v>
      </c>
      <c r="E30" s="4">
        <v>3</v>
      </c>
      <c r="F30" s="5" t="s">
        <v>31</v>
      </c>
      <c r="G30" s="6" t="s">
        <v>377</v>
      </c>
      <c r="I30" s="4">
        <f t="shared" si="3"/>
        <v>28</v>
      </c>
      <c r="J30" s="4" t="s">
        <v>346</v>
      </c>
      <c r="K30" s="4">
        <v>3480</v>
      </c>
      <c r="L30" s="4">
        <v>0</v>
      </c>
    </row>
    <row r="31" spans="1:12" ht="46.15" customHeight="1" x14ac:dyDescent="0.25">
      <c r="A31" s="2">
        <f>IF(BD_Versos[[#This Row],[Tema_Principal]]="","",ROW(BD_Versos[[#This Row],[Tema_Principal]])-1)</f>
        <v>30</v>
      </c>
      <c r="B31" s="3" t="s">
        <v>44</v>
      </c>
      <c r="C31" s="2" t="s">
        <v>109</v>
      </c>
      <c r="D31" s="4" t="s">
        <v>50</v>
      </c>
      <c r="E31" s="4">
        <v>4</v>
      </c>
      <c r="F31" s="5" t="s">
        <v>37</v>
      </c>
      <c r="G31" s="6" t="s">
        <v>378</v>
      </c>
      <c r="H31" s="4">
        <f t="shared" ref="H31:H42" si="4">A32</f>
        <v>31</v>
      </c>
      <c r="K31" s="4">
        <v>3480</v>
      </c>
      <c r="L31" s="4">
        <v>0</v>
      </c>
    </row>
    <row r="32" spans="1:12" ht="45" x14ac:dyDescent="0.25">
      <c r="A32" s="2">
        <f>IF(BD_Versos[[#This Row],[Tema_Principal]]="","",ROW(BD_Versos[[#This Row],[Tema_Principal]])-1)</f>
        <v>31</v>
      </c>
      <c r="B32" s="3" t="s">
        <v>44</v>
      </c>
      <c r="C32" s="2" t="s">
        <v>109</v>
      </c>
      <c r="D32" s="4" t="s">
        <v>50</v>
      </c>
      <c r="E32" s="4">
        <v>12</v>
      </c>
      <c r="F32" s="5" t="s">
        <v>111</v>
      </c>
      <c r="G32" s="6" t="s">
        <v>379</v>
      </c>
      <c r="H32" s="4">
        <f t="shared" si="4"/>
        <v>32</v>
      </c>
      <c r="I32" s="4">
        <f t="shared" ref="I32:I43" si="5">A31</f>
        <v>30</v>
      </c>
      <c r="K32" s="4">
        <v>3480</v>
      </c>
      <c r="L32" s="4">
        <v>0</v>
      </c>
    </row>
    <row r="33" spans="1:12" ht="45" x14ac:dyDescent="0.25">
      <c r="A33" s="2">
        <f>IF(BD_Versos[[#This Row],[Tema_Principal]]="","",ROW(BD_Versos[[#This Row],[Tema_Principal]])-1)</f>
        <v>32</v>
      </c>
      <c r="B33" s="3" t="s">
        <v>44</v>
      </c>
      <c r="C33" s="2" t="s">
        <v>109</v>
      </c>
      <c r="D33" s="4" t="s">
        <v>30</v>
      </c>
      <c r="E33" s="4">
        <v>3</v>
      </c>
      <c r="F33" s="5" t="s">
        <v>112</v>
      </c>
      <c r="G33" s="6" t="s">
        <v>380</v>
      </c>
      <c r="H33" s="4">
        <f t="shared" si="4"/>
        <v>33</v>
      </c>
      <c r="I33" s="4">
        <f t="shared" si="5"/>
        <v>31</v>
      </c>
      <c r="K33" s="4">
        <v>3480</v>
      </c>
      <c r="L33" s="4">
        <v>0</v>
      </c>
    </row>
    <row r="34" spans="1:12" ht="45" x14ac:dyDescent="0.25">
      <c r="A34" s="2">
        <f>IF(BD_Versos[[#This Row],[Tema_Principal]]="","",ROW(BD_Versos[[#This Row],[Tema_Principal]])-1)</f>
        <v>33</v>
      </c>
      <c r="B34" s="3" t="s">
        <v>44</v>
      </c>
      <c r="C34" s="2" t="s">
        <v>109</v>
      </c>
      <c r="D34" s="4" t="s">
        <v>33</v>
      </c>
      <c r="E34" s="4">
        <v>4</v>
      </c>
      <c r="F34" s="5" t="s">
        <v>113</v>
      </c>
      <c r="G34" s="6" t="s">
        <v>381</v>
      </c>
      <c r="H34" s="4">
        <f t="shared" si="4"/>
        <v>34</v>
      </c>
      <c r="I34" s="4">
        <f t="shared" si="5"/>
        <v>32</v>
      </c>
      <c r="K34" s="4">
        <v>3480</v>
      </c>
      <c r="L34" s="4">
        <v>0</v>
      </c>
    </row>
    <row r="35" spans="1:12" ht="45" x14ac:dyDescent="0.25">
      <c r="A35" s="2">
        <f>IF(BD_Versos[[#This Row],[Tema_Principal]]="","",ROW(BD_Versos[[#This Row],[Tema_Principal]])-1)</f>
        <v>34</v>
      </c>
      <c r="B35" s="3" t="s">
        <v>44</v>
      </c>
      <c r="C35" s="2" t="s">
        <v>109</v>
      </c>
      <c r="D35" s="4" t="s">
        <v>33</v>
      </c>
      <c r="E35" s="4">
        <v>11</v>
      </c>
      <c r="F35" s="5" t="s">
        <v>114</v>
      </c>
      <c r="G35" s="6" t="s">
        <v>382</v>
      </c>
      <c r="H35" s="4">
        <f t="shared" si="4"/>
        <v>35</v>
      </c>
      <c r="I35" s="4">
        <f t="shared" si="5"/>
        <v>33</v>
      </c>
      <c r="K35" s="4">
        <v>3480</v>
      </c>
      <c r="L35" s="4">
        <v>0</v>
      </c>
    </row>
    <row r="36" spans="1:12" ht="60" x14ac:dyDescent="0.25">
      <c r="A36" s="2">
        <f>IF(BD_Versos[[#This Row],[Tema_Principal]]="","",ROW(BD_Versos[[#This Row],[Tema_Principal]])-1)</f>
        <v>35</v>
      </c>
      <c r="B36" s="3" t="s">
        <v>44</v>
      </c>
      <c r="C36" s="2" t="s">
        <v>109</v>
      </c>
      <c r="D36" s="4" t="s">
        <v>91</v>
      </c>
      <c r="E36" s="4">
        <v>12</v>
      </c>
      <c r="F36" s="5" t="s">
        <v>116</v>
      </c>
      <c r="G36" s="6" t="s">
        <v>383</v>
      </c>
      <c r="H36" s="4">
        <f t="shared" si="4"/>
        <v>36</v>
      </c>
      <c r="I36" s="4">
        <f t="shared" si="5"/>
        <v>34</v>
      </c>
      <c r="K36" s="4">
        <v>3480</v>
      </c>
      <c r="L36" s="4">
        <v>0</v>
      </c>
    </row>
    <row r="37" spans="1:12" ht="57" customHeight="1" x14ac:dyDescent="0.25">
      <c r="A37" s="2">
        <f>IF(BD_Versos[[#This Row],[Tema_Principal]]="","",ROW(BD_Versos[[#This Row],[Tema_Principal]])-1)</f>
        <v>36</v>
      </c>
      <c r="B37" s="3" t="s">
        <v>44</v>
      </c>
      <c r="C37" s="2" t="s">
        <v>109</v>
      </c>
      <c r="D37" s="4" t="s">
        <v>91</v>
      </c>
      <c r="E37" s="4">
        <v>14</v>
      </c>
      <c r="F37" s="5" t="s">
        <v>115</v>
      </c>
      <c r="G37" s="6" t="s">
        <v>384</v>
      </c>
      <c r="H37" s="4">
        <f t="shared" si="4"/>
        <v>37</v>
      </c>
      <c r="I37" s="4">
        <f t="shared" si="5"/>
        <v>35</v>
      </c>
      <c r="K37" s="4">
        <v>3480</v>
      </c>
      <c r="L37" s="4">
        <v>0</v>
      </c>
    </row>
    <row r="38" spans="1:12" ht="45" x14ac:dyDescent="0.25">
      <c r="A38" s="2">
        <f>IF(BD_Versos[[#This Row],[Tema_Principal]]="","",ROW(BD_Versos[[#This Row],[Tema_Principal]])-1)</f>
        <v>37</v>
      </c>
      <c r="B38" s="3" t="s">
        <v>44</v>
      </c>
      <c r="C38" s="2" t="s">
        <v>109</v>
      </c>
      <c r="D38" s="4" t="s">
        <v>92</v>
      </c>
      <c r="E38" s="4">
        <v>16</v>
      </c>
      <c r="F38" s="5" t="s">
        <v>117</v>
      </c>
      <c r="G38" s="6" t="s">
        <v>385</v>
      </c>
      <c r="H38" s="4">
        <f t="shared" si="4"/>
        <v>38</v>
      </c>
      <c r="I38" s="4">
        <f t="shared" si="5"/>
        <v>36</v>
      </c>
      <c r="K38" s="4">
        <v>3480</v>
      </c>
      <c r="L38" s="4">
        <v>0</v>
      </c>
    </row>
    <row r="39" spans="1:12" ht="30" x14ac:dyDescent="0.25">
      <c r="A39" s="2">
        <f>IF(BD_Versos[[#This Row],[Tema_Principal]]="","",ROW(BD_Versos[[#This Row],[Tema_Principal]])-1)</f>
        <v>38</v>
      </c>
      <c r="B39" s="3" t="s">
        <v>44</v>
      </c>
      <c r="C39" s="2" t="s">
        <v>109</v>
      </c>
      <c r="D39" s="4" t="s">
        <v>15</v>
      </c>
      <c r="E39" s="4">
        <v>15</v>
      </c>
      <c r="F39" s="5" t="s">
        <v>51</v>
      </c>
      <c r="G39" s="6" t="s">
        <v>386</v>
      </c>
      <c r="H39" s="4">
        <f t="shared" si="4"/>
        <v>39</v>
      </c>
      <c r="I39" s="4">
        <f t="shared" si="5"/>
        <v>37</v>
      </c>
      <c r="K39" s="4">
        <v>3480</v>
      </c>
      <c r="L39" s="4">
        <v>0</v>
      </c>
    </row>
    <row r="40" spans="1:12" ht="60" x14ac:dyDescent="0.25">
      <c r="A40" s="2">
        <f>IF(BD_Versos[[#This Row],[Tema_Principal]]="","",ROW(BD_Versos[[#This Row],[Tema_Principal]])-1)</f>
        <v>39</v>
      </c>
      <c r="B40" s="3" t="s">
        <v>44</v>
      </c>
      <c r="C40" s="2" t="s">
        <v>109</v>
      </c>
      <c r="D40" s="4" t="s">
        <v>40</v>
      </c>
      <c r="E40" s="4">
        <v>2</v>
      </c>
      <c r="F40" s="5" t="s">
        <v>118</v>
      </c>
      <c r="G40" s="6" t="s">
        <v>387</v>
      </c>
      <c r="H40" s="4">
        <f t="shared" si="4"/>
        <v>40</v>
      </c>
      <c r="I40" s="4">
        <f t="shared" si="5"/>
        <v>38</v>
      </c>
      <c r="K40" s="4">
        <v>3480</v>
      </c>
      <c r="L40" s="4">
        <v>0</v>
      </c>
    </row>
    <row r="41" spans="1:12" ht="75" x14ac:dyDescent="0.25">
      <c r="A41" s="2">
        <f>IF(BD_Versos[[#This Row],[Tema_Principal]]="","",ROW(BD_Versos[[#This Row],[Tema_Principal]])-1)</f>
        <v>40</v>
      </c>
      <c r="B41" s="3" t="s">
        <v>44</v>
      </c>
      <c r="C41" s="2" t="s">
        <v>109</v>
      </c>
      <c r="D41" s="4" t="s">
        <v>27</v>
      </c>
      <c r="E41" s="4">
        <v>2</v>
      </c>
      <c r="F41" s="5" t="s">
        <v>47</v>
      </c>
      <c r="G41" s="6" t="s">
        <v>388</v>
      </c>
      <c r="H41" s="4">
        <f t="shared" si="4"/>
        <v>41</v>
      </c>
      <c r="I41" s="4">
        <f t="shared" si="5"/>
        <v>39</v>
      </c>
      <c r="K41" s="4">
        <v>3480</v>
      </c>
      <c r="L41" s="4">
        <v>0</v>
      </c>
    </row>
    <row r="42" spans="1:12" ht="75" x14ac:dyDescent="0.25">
      <c r="A42" s="2">
        <f>IF(BD_Versos[[#This Row],[Tema_Principal]]="","",ROW(BD_Versos[[#This Row],[Tema_Principal]])-1)</f>
        <v>41</v>
      </c>
      <c r="B42" s="3" t="s">
        <v>44</v>
      </c>
      <c r="C42" s="2" t="s">
        <v>109</v>
      </c>
      <c r="D42" s="4" t="s">
        <v>102</v>
      </c>
      <c r="E42" s="4">
        <v>3</v>
      </c>
      <c r="F42" s="5" t="s">
        <v>118</v>
      </c>
      <c r="G42" s="6" t="s">
        <v>389</v>
      </c>
      <c r="H42" s="4">
        <f t="shared" si="4"/>
        <v>42</v>
      </c>
      <c r="I42" s="4">
        <f t="shared" si="5"/>
        <v>40</v>
      </c>
      <c r="K42" s="4">
        <v>3480</v>
      </c>
      <c r="L42" s="4">
        <v>0</v>
      </c>
    </row>
    <row r="43" spans="1:12" ht="75" x14ac:dyDescent="0.25">
      <c r="A43" s="2">
        <f>IF(BD_Versos[[#This Row],[Tema_Principal]]="","",ROW(BD_Versos[[#This Row],[Tema_Principal]])-1)</f>
        <v>42</v>
      </c>
      <c r="B43" s="3" t="s">
        <v>44</v>
      </c>
      <c r="C43" s="2" t="s">
        <v>109</v>
      </c>
      <c r="D43" s="4" t="s">
        <v>42</v>
      </c>
      <c r="E43" s="4">
        <v>20</v>
      </c>
      <c r="F43" s="5" t="s">
        <v>119</v>
      </c>
      <c r="G43" s="6" t="s">
        <v>390</v>
      </c>
      <c r="I43" s="4">
        <f t="shared" si="5"/>
        <v>41</v>
      </c>
      <c r="K43" s="4">
        <v>3480</v>
      </c>
      <c r="L43" s="4">
        <v>0</v>
      </c>
    </row>
    <row r="44" spans="1:12" ht="60" x14ac:dyDescent="0.25">
      <c r="A44" s="2">
        <f>IF(BD_Versos[[#This Row],[Tema_Principal]]="","",ROW(BD_Versos[[#This Row],[Tema_Principal]])-1)</f>
        <v>43</v>
      </c>
      <c r="B44" s="3" t="s">
        <v>44</v>
      </c>
      <c r="C44" s="2" t="s">
        <v>120</v>
      </c>
      <c r="D44" s="4" t="s">
        <v>48</v>
      </c>
      <c r="E44" s="4">
        <v>1</v>
      </c>
      <c r="F44" s="5" t="s">
        <v>110</v>
      </c>
      <c r="G44" s="6" t="s">
        <v>391</v>
      </c>
      <c r="H44" s="4">
        <f>A45</f>
        <v>44</v>
      </c>
      <c r="J44" s="4" t="s">
        <v>127</v>
      </c>
      <c r="K44" s="4">
        <v>3481</v>
      </c>
      <c r="L44" s="4">
        <v>0</v>
      </c>
    </row>
    <row r="45" spans="1:12" ht="60" x14ac:dyDescent="0.25">
      <c r="A45" s="2">
        <f>IF(BD_Versos[[#This Row],[Tema_Principal]]="","",ROW(BD_Versos[[#This Row],[Tema_Principal]])-1)</f>
        <v>44</v>
      </c>
      <c r="B45" s="3" t="s">
        <v>44</v>
      </c>
      <c r="C45" s="2" t="s">
        <v>120</v>
      </c>
      <c r="D45" s="4" t="s">
        <v>50</v>
      </c>
      <c r="E45" s="4">
        <v>8</v>
      </c>
      <c r="F45" s="5" t="s">
        <v>121</v>
      </c>
      <c r="G45" s="6" t="s">
        <v>392</v>
      </c>
      <c r="H45" s="4">
        <f t="shared" ref="H45:H65" si="6">A46</f>
        <v>45</v>
      </c>
      <c r="I45" s="4">
        <f>A44</f>
        <v>43</v>
      </c>
      <c r="K45" s="4">
        <v>3481</v>
      </c>
      <c r="L45" s="4">
        <v>0</v>
      </c>
    </row>
    <row r="46" spans="1:12" ht="45" x14ac:dyDescent="0.25">
      <c r="A46" s="2">
        <f>IF(BD_Versos[[#This Row],[Tema_Principal]]="","",ROW(BD_Versos[[#This Row],[Tema_Principal]])-1)</f>
        <v>45</v>
      </c>
      <c r="B46" s="3" t="s">
        <v>44</v>
      </c>
      <c r="C46" s="2" t="s">
        <v>120</v>
      </c>
      <c r="D46" s="4" t="s">
        <v>50</v>
      </c>
      <c r="E46" s="4">
        <v>12</v>
      </c>
      <c r="F46" s="5" t="s">
        <v>111</v>
      </c>
      <c r="G46" s="6" t="s">
        <v>379</v>
      </c>
      <c r="H46" s="4">
        <f t="shared" si="6"/>
        <v>46</v>
      </c>
      <c r="I46" s="4">
        <f t="shared" ref="I46:I66" si="7">A45</f>
        <v>44</v>
      </c>
      <c r="K46" s="4">
        <v>3481</v>
      </c>
      <c r="L46" s="4">
        <v>0</v>
      </c>
    </row>
    <row r="47" spans="1:12" ht="45" x14ac:dyDescent="0.25">
      <c r="A47" s="2">
        <f>IF(BD_Versos[[#This Row],[Tema_Principal]]="","",ROW(BD_Versos[[#This Row],[Tema_Principal]])-1)</f>
        <v>46</v>
      </c>
      <c r="B47" s="3" t="s">
        <v>44</v>
      </c>
      <c r="C47" s="2" t="s">
        <v>120</v>
      </c>
      <c r="D47" s="4" t="s">
        <v>30</v>
      </c>
      <c r="E47" s="4">
        <v>3</v>
      </c>
      <c r="F47" s="5" t="s">
        <v>112</v>
      </c>
      <c r="G47" s="6" t="s">
        <v>380</v>
      </c>
      <c r="H47" s="4">
        <f t="shared" si="6"/>
        <v>47</v>
      </c>
      <c r="I47" s="4">
        <f t="shared" si="7"/>
        <v>45</v>
      </c>
      <c r="K47" s="4">
        <v>3481</v>
      </c>
      <c r="L47" s="4">
        <v>0</v>
      </c>
    </row>
    <row r="48" spans="1:12" ht="60" x14ac:dyDescent="0.25">
      <c r="A48" s="2">
        <f>IF(BD_Versos[[#This Row],[Tema_Principal]]="","",ROW(BD_Versos[[#This Row],[Tema_Principal]])-1)</f>
        <v>47</v>
      </c>
      <c r="B48" s="3" t="s">
        <v>44</v>
      </c>
      <c r="C48" s="2" t="s">
        <v>120</v>
      </c>
      <c r="D48" s="4" t="s">
        <v>30</v>
      </c>
      <c r="E48" s="4">
        <v>5</v>
      </c>
      <c r="F48" s="5" t="s">
        <v>122</v>
      </c>
      <c r="G48" s="6" t="s">
        <v>393</v>
      </c>
      <c r="H48" s="4">
        <f t="shared" si="6"/>
        <v>48</v>
      </c>
      <c r="I48" s="4">
        <f t="shared" si="7"/>
        <v>46</v>
      </c>
      <c r="K48" s="4">
        <v>3481</v>
      </c>
      <c r="L48" s="4">
        <v>0</v>
      </c>
    </row>
    <row r="49" spans="1:12" ht="60" x14ac:dyDescent="0.25">
      <c r="A49" s="2">
        <f>IF(BD_Versos[[#This Row],[Tema_Principal]]="","",ROW(BD_Versos[[#This Row],[Tema_Principal]])-1)</f>
        <v>48</v>
      </c>
      <c r="B49" s="3" t="s">
        <v>44</v>
      </c>
      <c r="C49" s="2" t="s">
        <v>120</v>
      </c>
      <c r="D49" s="4" t="s">
        <v>30</v>
      </c>
      <c r="E49" s="4">
        <v>5</v>
      </c>
      <c r="F49" s="5" t="s">
        <v>113</v>
      </c>
      <c r="G49" s="6" t="s">
        <v>394</v>
      </c>
      <c r="H49" s="4">
        <f t="shared" si="6"/>
        <v>49</v>
      </c>
      <c r="I49" s="4">
        <f t="shared" si="7"/>
        <v>47</v>
      </c>
      <c r="K49" s="4">
        <v>3481</v>
      </c>
      <c r="L49" s="4">
        <v>0</v>
      </c>
    </row>
    <row r="50" spans="1:12" ht="60" x14ac:dyDescent="0.25">
      <c r="A50" s="2">
        <f>IF(BD_Versos[[#This Row],[Tema_Principal]]="","",ROW(BD_Versos[[#This Row],[Tema_Principal]])-1)</f>
        <v>49</v>
      </c>
      <c r="B50" s="3" t="s">
        <v>44</v>
      </c>
      <c r="C50" s="2" t="s">
        <v>120</v>
      </c>
      <c r="D50" s="4" t="s">
        <v>30</v>
      </c>
      <c r="E50" s="4">
        <v>9</v>
      </c>
      <c r="F50" s="5" t="s">
        <v>108</v>
      </c>
      <c r="G50" s="6" t="s">
        <v>395</v>
      </c>
      <c r="H50" s="4">
        <f t="shared" si="6"/>
        <v>50</v>
      </c>
      <c r="I50" s="4">
        <f t="shared" si="7"/>
        <v>48</v>
      </c>
      <c r="K50" s="4">
        <v>3481</v>
      </c>
      <c r="L50" s="4">
        <v>0</v>
      </c>
    </row>
    <row r="51" spans="1:12" ht="60" x14ac:dyDescent="0.25">
      <c r="A51" s="2">
        <f>IF(BD_Versos[[#This Row],[Tema_Principal]]="","",ROW(BD_Versos[[#This Row],[Tema_Principal]])-1)</f>
        <v>50</v>
      </c>
      <c r="B51" s="3" t="s">
        <v>44</v>
      </c>
      <c r="C51" s="2" t="s">
        <v>120</v>
      </c>
      <c r="D51" s="4" t="s">
        <v>30</v>
      </c>
      <c r="E51" s="4">
        <v>9</v>
      </c>
      <c r="F51" s="5" t="s">
        <v>51</v>
      </c>
      <c r="G51" s="6" t="s">
        <v>396</v>
      </c>
      <c r="H51" s="4">
        <f t="shared" si="6"/>
        <v>51</v>
      </c>
      <c r="I51" s="4">
        <f t="shared" si="7"/>
        <v>49</v>
      </c>
      <c r="K51" s="4">
        <v>3481</v>
      </c>
      <c r="L51" s="4">
        <v>0</v>
      </c>
    </row>
    <row r="52" spans="1:12" ht="45" x14ac:dyDescent="0.25">
      <c r="A52" s="2">
        <f>IF(BD_Versos[[#This Row],[Tema_Principal]]="","",ROW(BD_Versos[[#This Row],[Tema_Principal]])-1)</f>
        <v>51</v>
      </c>
      <c r="B52" s="3" t="s">
        <v>44</v>
      </c>
      <c r="C52" s="2" t="s">
        <v>120</v>
      </c>
      <c r="D52" s="4" t="s">
        <v>33</v>
      </c>
      <c r="E52" s="4">
        <v>4</v>
      </c>
      <c r="F52" s="5" t="s">
        <v>34</v>
      </c>
      <c r="G52" s="6" t="s">
        <v>359</v>
      </c>
      <c r="H52" s="4">
        <f t="shared" si="6"/>
        <v>52</v>
      </c>
      <c r="I52" s="4">
        <f t="shared" si="7"/>
        <v>50</v>
      </c>
      <c r="J52" s="4" t="s">
        <v>128</v>
      </c>
      <c r="K52" s="4">
        <v>3481</v>
      </c>
      <c r="L52" s="4">
        <v>0</v>
      </c>
    </row>
    <row r="53" spans="1:12" ht="90" x14ac:dyDescent="0.25">
      <c r="A53" s="2">
        <f>IF(BD_Versos[[#This Row],[Tema_Principal]]="","",ROW(BD_Versos[[#This Row],[Tema_Principal]])-1)</f>
        <v>52</v>
      </c>
      <c r="B53" s="3" t="s">
        <v>44</v>
      </c>
      <c r="C53" s="2" t="s">
        <v>120</v>
      </c>
      <c r="D53" s="4" t="s">
        <v>33</v>
      </c>
      <c r="E53" s="4">
        <v>8</v>
      </c>
      <c r="F53" s="5" t="s">
        <v>111</v>
      </c>
      <c r="G53" s="6" t="s">
        <v>397</v>
      </c>
      <c r="H53" s="4">
        <f t="shared" si="6"/>
        <v>53</v>
      </c>
      <c r="I53" s="4">
        <f t="shared" si="7"/>
        <v>51</v>
      </c>
      <c r="K53" s="4">
        <v>3481</v>
      </c>
      <c r="L53" s="4">
        <v>0</v>
      </c>
    </row>
    <row r="54" spans="1:12" ht="30" x14ac:dyDescent="0.25">
      <c r="A54" s="2">
        <f>IF(BD_Versos[[#This Row],[Tema_Principal]]="","",ROW(BD_Versos[[#This Row],[Tema_Principal]])-1)</f>
        <v>53</v>
      </c>
      <c r="B54" s="3" t="s">
        <v>44</v>
      </c>
      <c r="C54" s="2" t="s">
        <v>120</v>
      </c>
      <c r="D54" s="4" t="s">
        <v>33</v>
      </c>
      <c r="E54" s="4">
        <v>11</v>
      </c>
      <c r="F54" s="5" t="s">
        <v>123</v>
      </c>
      <c r="G54" s="6" t="s">
        <v>398</v>
      </c>
      <c r="H54" s="4">
        <f t="shared" si="6"/>
        <v>54</v>
      </c>
      <c r="I54" s="4">
        <f t="shared" si="7"/>
        <v>52</v>
      </c>
      <c r="K54" s="4">
        <v>3481</v>
      </c>
      <c r="L54" s="4">
        <v>0</v>
      </c>
    </row>
    <row r="55" spans="1:12" ht="60" x14ac:dyDescent="0.25">
      <c r="A55" s="2">
        <f>IF(BD_Versos[[#This Row],[Tema_Principal]]="","",ROW(BD_Versos[[#This Row],[Tema_Principal]])-1)</f>
        <v>54</v>
      </c>
      <c r="B55" s="3" t="s">
        <v>44</v>
      </c>
      <c r="C55" s="2" t="s">
        <v>120</v>
      </c>
      <c r="D55" s="4" t="s">
        <v>33</v>
      </c>
      <c r="E55" s="4">
        <v>13</v>
      </c>
      <c r="F55" s="5" t="s">
        <v>124</v>
      </c>
      <c r="G55" s="6" t="s">
        <v>399</v>
      </c>
      <c r="H55" s="4">
        <f t="shared" si="6"/>
        <v>55</v>
      </c>
      <c r="I55" s="4">
        <f t="shared" si="7"/>
        <v>53</v>
      </c>
      <c r="K55" s="4">
        <v>3481</v>
      </c>
      <c r="L55" s="4">
        <v>0</v>
      </c>
    </row>
    <row r="56" spans="1:12" ht="67.150000000000006" customHeight="1" x14ac:dyDescent="0.25">
      <c r="A56" s="2">
        <f>IF(BD_Versos[[#This Row],[Tema_Principal]]="","",ROW(BD_Versos[[#This Row],[Tema_Principal]])-1)</f>
        <v>55</v>
      </c>
      <c r="B56" s="3" t="s">
        <v>44</v>
      </c>
      <c r="C56" s="2" t="s">
        <v>120</v>
      </c>
      <c r="D56" s="4" t="s">
        <v>33</v>
      </c>
      <c r="E56" s="4">
        <v>22</v>
      </c>
      <c r="F56" s="5" t="s">
        <v>125</v>
      </c>
      <c r="G56" s="6" t="s">
        <v>400</v>
      </c>
      <c r="H56" s="4">
        <f t="shared" si="6"/>
        <v>56</v>
      </c>
      <c r="I56" s="4">
        <f t="shared" si="7"/>
        <v>54</v>
      </c>
      <c r="K56" s="4">
        <v>3481</v>
      </c>
      <c r="L56" s="4">
        <v>0</v>
      </c>
    </row>
    <row r="57" spans="1:12" ht="75" x14ac:dyDescent="0.25">
      <c r="A57" s="2">
        <f>IF(BD_Versos[[#This Row],[Tema_Principal]]="","",ROW(BD_Versos[[#This Row],[Tema_Principal]])-1)</f>
        <v>56</v>
      </c>
      <c r="B57" s="3" t="s">
        <v>44</v>
      </c>
      <c r="C57" s="2" t="s">
        <v>120</v>
      </c>
      <c r="D57" s="4" t="s">
        <v>13</v>
      </c>
      <c r="E57" s="4">
        <v>26</v>
      </c>
      <c r="F57" s="5" t="s">
        <v>108</v>
      </c>
      <c r="G57" s="6" t="s">
        <v>401</v>
      </c>
      <c r="H57" s="4">
        <f t="shared" si="6"/>
        <v>57</v>
      </c>
      <c r="I57" s="4">
        <f t="shared" si="7"/>
        <v>55</v>
      </c>
      <c r="J57" s="4" t="s">
        <v>126</v>
      </c>
      <c r="K57" s="4">
        <v>3481</v>
      </c>
      <c r="L57" s="4">
        <v>0</v>
      </c>
    </row>
    <row r="58" spans="1:12" ht="90" x14ac:dyDescent="0.25">
      <c r="A58" s="2">
        <f>IF(BD_Versos[[#This Row],[Tema_Principal]]="","",ROW(BD_Versos[[#This Row],[Tema_Principal]])-1)</f>
        <v>57</v>
      </c>
      <c r="B58" s="3" t="s">
        <v>44</v>
      </c>
      <c r="C58" s="2" t="s">
        <v>120</v>
      </c>
      <c r="D58" s="4" t="s">
        <v>36</v>
      </c>
      <c r="E58" s="4">
        <v>4</v>
      </c>
      <c r="F58" s="5" t="s">
        <v>130</v>
      </c>
      <c r="G58" s="6" t="s">
        <v>402</v>
      </c>
      <c r="H58" s="4">
        <f t="shared" si="6"/>
        <v>58</v>
      </c>
      <c r="I58" s="4">
        <f t="shared" si="7"/>
        <v>56</v>
      </c>
      <c r="J58" s="4" t="s">
        <v>129</v>
      </c>
      <c r="K58" s="4">
        <v>3481</v>
      </c>
      <c r="L58" s="4">
        <v>0</v>
      </c>
    </row>
    <row r="59" spans="1:12" ht="90" x14ac:dyDescent="0.25">
      <c r="A59" s="2">
        <f>IF(BD_Versos[[#This Row],[Tema_Principal]]="","",ROW(BD_Versos[[#This Row],[Tema_Principal]])-1)</f>
        <v>58</v>
      </c>
      <c r="B59" s="3" t="s">
        <v>44</v>
      </c>
      <c r="C59" s="2" t="s">
        <v>120</v>
      </c>
      <c r="D59" s="4" t="s">
        <v>39</v>
      </c>
      <c r="E59" s="4">
        <v>6</v>
      </c>
      <c r="F59" s="5" t="s">
        <v>110</v>
      </c>
      <c r="G59" s="6" t="s">
        <v>403</v>
      </c>
      <c r="H59" s="4">
        <f t="shared" si="6"/>
        <v>59</v>
      </c>
      <c r="I59" s="4">
        <f t="shared" si="7"/>
        <v>57</v>
      </c>
      <c r="J59" s="4" t="s">
        <v>131</v>
      </c>
      <c r="K59" s="4">
        <v>3481</v>
      </c>
      <c r="L59" s="4">
        <v>0</v>
      </c>
    </row>
    <row r="60" spans="1:12" ht="45" x14ac:dyDescent="0.25">
      <c r="A60" s="2">
        <f>IF(BD_Versos[[#This Row],[Tema_Principal]]="","",ROW(BD_Versos[[#This Row],[Tema_Principal]])-1)</f>
        <v>59</v>
      </c>
      <c r="B60" s="3" t="s">
        <v>44</v>
      </c>
      <c r="C60" s="2" t="s">
        <v>120</v>
      </c>
      <c r="D60" s="4" t="s">
        <v>94</v>
      </c>
      <c r="E60" s="4">
        <v>1</v>
      </c>
      <c r="F60" s="5" t="s">
        <v>113</v>
      </c>
      <c r="G60" s="6" t="s">
        <v>404</v>
      </c>
      <c r="H60" s="4">
        <f t="shared" si="6"/>
        <v>60</v>
      </c>
      <c r="I60" s="4">
        <f t="shared" si="7"/>
        <v>58</v>
      </c>
      <c r="K60" s="4">
        <v>3481</v>
      </c>
      <c r="L60" s="4">
        <v>0</v>
      </c>
    </row>
    <row r="61" spans="1:12" ht="45" x14ac:dyDescent="0.25">
      <c r="A61" s="2">
        <f>IF(BD_Versos[[#This Row],[Tema_Principal]]="","",ROW(BD_Versos[[#This Row],[Tema_Principal]])-1)</f>
        <v>60</v>
      </c>
      <c r="B61" s="3" t="s">
        <v>44</v>
      </c>
      <c r="C61" s="2" t="s">
        <v>120</v>
      </c>
      <c r="D61" s="4" t="s">
        <v>40</v>
      </c>
      <c r="E61" s="4">
        <v>2</v>
      </c>
      <c r="F61" s="5" t="s">
        <v>41</v>
      </c>
      <c r="G61" s="6" t="s">
        <v>364</v>
      </c>
      <c r="H61" s="4">
        <f t="shared" si="6"/>
        <v>61</v>
      </c>
      <c r="I61" s="4">
        <f t="shared" si="7"/>
        <v>59</v>
      </c>
      <c r="J61" s="4" t="s">
        <v>132</v>
      </c>
      <c r="K61" s="4">
        <v>3481</v>
      </c>
      <c r="L61" s="4">
        <v>0</v>
      </c>
    </row>
    <row r="62" spans="1:12" ht="45" x14ac:dyDescent="0.25">
      <c r="A62" s="2">
        <f>IF(BD_Versos[[#This Row],[Tema_Principal]]="","",ROW(BD_Versos[[#This Row],[Tema_Principal]])-1)</f>
        <v>61</v>
      </c>
      <c r="B62" s="3" t="s">
        <v>44</v>
      </c>
      <c r="C62" s="2" t="s">
        <v>120</v>
      </c>
      <c r="D62" s="4" t="s">
        <v>23</v>
      </c>
      <c r="E62" s="4">
        <v>2</v>
      </c>
      <c r="F62" s="5" t="s">
        <v>51</v>
      </c>
      <c r="G62" s="6" t="s">
        <v>405</v>
      </c>
      <c r="H62" s="4">
        <f t="shared" si="6"/>
        <v>62</v>
      </c>
      <c r="I62" s="4">
        <f t="shared" si="7"/>
        <v>60</v>
      </c>
      <c r="K62" s="4">
        <v>3481</v>
      </c>
      <c r="L62" s="4">
        <v>0</v>
      </c>
    </row>
    <row r="63" spans="1:12" ht="75" x14ac:dyDescent="0.25">
      <c r="A63" s="2">
        <f>IF(BD_Versos[[#This Row],[Tema_Principal]]="","",ROW(BD_Versos[[#This Row],[Tema_Principal]])-1)</f>
        <v>62</v>
      </c>
      <c r="B63" s="3" t="s">
        <v>44</v>
      </c>
      <c r="C63" s="2" t="s">
        <v>120</v>
      </c>
      <c r="D63" s="4" t="s">
        <v>27</v>
      </c>
      <c r="E63" s="4">
        <v>2</v>
      </c>
      <c r="F63" s="5" t="s">
        <v>47</v>
      </c>
      <c r="G63" s="6" t="s">
        <v>388</v>
      </c>
      <c r="H63" s="4">
        <f t="shared" si="6"/>
        <v>63</v>
      </c>
      <c r="I63" s="4">
        <f t="shared" si="7"/>
        <v>61</v>
      </c>
      <c r="K63" s="4">
        <v>3481</v>
      </c>
      <c r="L63" s="4">
        <v>0</v>
      </c>
    </row>
    <row r="64" spans="1:12" ht="45" x14ac:dyDescent="0.25">
      <c r="A64" s="2">
        <f>IF(BD_Versos[[#This Row],[Tema_Principal]]="","",ROW(BD_Versos[[#This Row],[Tema_Principal]])-1)</f>
        <v>63</v>
      </c>
      <c r="B64" s="3" t="s">
        <v>44</v>
      </c>
      <c r="C64" s="2" t="s">
        <v>120</v>
      </c>
      <c r="D64" s="4" t="s">
        <v>42</v>
      </c>
      <c r="E64" s="4">
        <v>11</v>
      </c>
      <c r="F64" s="5" t="s">
        <v>43</v>
      </c>
      <c r="G64" s="6" t="s">
        <v>406</v>
      </c>
      <c r="H64" s="4">
        <f t="shared" si="6"/>
        <v>64</v>
      </c>
      <c r="I64" s="4">
        <f t="shared" si="7"/>
        <v>62</v>
      </c>
      <c r="K64" s="4">
        <v>3481</v>
      </c>
      <c r="L64" s="4">
        <v>0</v>
      </c>
    </row>
    <row r="65" spans="1:12" ht="60" x14ac:dyDescent="0.25">
      <c r="A65" s="2">
        <f>IF(BD_Versos[[#This Row],[Tema_Principal]]="","",ROW(BD_Versos[[#This Row],[Tema_Principal]])-1)</f>
        <v>64</v>
      </c>
      <c r="B65" s="3" t="s">
        <v>44</v>
      </c>
      <c r="C65" s="2" t="s">
        <v>120</v>
      </c>
      <c r="D65" s="4" t="s">
        <v>42</v>
      </c>
      <c r="E65" s="4">
        <v>13</v>
      </c>
      <c r="F65" s="5" t="s">
        <v>49</v>
      </c>
      <c r="G65" s="6" t="s">
        <v>407</v>
      </c>
      <c r="H65" s="4">
        <f t="shared" si="6"/>
        <v>65</v>
      </c>
      <c r="I65" s="4">
        <f t="shared" si="7"/>
        <v>63</v>
      </c>
      <c r="K65" s="4">
        <v>3481</v>
      </c>
      <c r="L65" s="4">
        <v>0</v>
      </c>
    </row>
    <row r="66" spans="1:12" ht="45" x14ac:dyDescent="0.25">
      <c r="A66" s="2">
        <f>IF(BD_Versos[[#This Row],[Tema_Principal]]="","",ROW(BD_Versos[[#This Row],[Tema_Principal]])-1)</f>
        <v>65</v>
      </c>
      <c r="B66" s="3" t="s">
        <v>44</v>
      </c>
      <c r="C66" s="2" t="s">
        <v>120</v>
      </c>
      <c r="D66" s="4" t="s">
        <v>42</v>
      </c>
      <c r="E66" s="4">
        <v>13</v>
      </c>
      <c r="F66" s="5" t="s">
        <v>43</v>
      </c>
      <c r="G66" s="6" t="s">
        <v>408</v>
      </c>
      <c r="I66" s="4">
        <f t="shared" si="7"/>
        <v>64</v>
      </c>
      <c r="K66" s="4">
        <v>3481</v>
      </c>
      <c r="L66" s="4">
        <v>0</v>
      </c>
    </row>
    <row r="67" spans="1:12" ht="75" x14ac:dyDescent="0.25">
      <c r="A67" s="2">
        <f>IF(BD_Versos[[#This Row],[Tema_Principal]]="","",ROW(BD_Versos[[#This Row],[Tema_Principal]])-1)</f>
        <v>66</v>
      </c>
      <c r="B67" s="3" t="s">
        <v>44</v>
      </c>
      <c r="C67" s="2" t="s">
        <v>133</v>
      </c>
      <c r="D67" s="4" t="s">
        <v>46</v>
      </c>
      <c r="E67" s="4">
        <v>3</v>
      </c>
      <c r="F67" s="5" t="s">
        <v>28</v>
      </c>
      <c r="G67" s="6" t="s">
        <v>409</v>
      </c>
      <c r="H67" s="4">
        <f>A68</f>
        <v>67</v>
      </c>
      <c r="K67" s="4">
        <v>3482</v>
      </c>
      <c r="L67" s="4">
        <v>0</v>
      </c>
    </row>
    <row r="68" spans="1:12" ht="60" x14ac:dyDescent="0.25">
      <c r="A68" s="2">
        <f>IF(BD_Versos[[#This Row],[Tema_Principal]]="","",ROW(BD_Versos[[#This Row],[Tema_Principal]])-1)</f>
        <v>67</v>
      </c>
      <c r="B68" s="3" t="s">
        <v>44</v>
      </c>
      <c r="C68" s="2" t="s">
        <v>133</v>
      </c>
      <c r="D68" s="4" t="s">
        <v>46</v>
      </c>
      <c r="E68" s="4">
        <v>3</v>
      </c>
      <c r="F68" s="5" t="s">
        <v>144</v>
      </c>
      <c r="G68" s="6" t="s">
        <v>410</v>
      </c>
      <c r="H68" s="4">
        <f t="shared" ref="H68:H120" si="8">A69</f>
        <v>68</v>
      </c>
      <c r="I68" s="4">
        <f>A67</f>
        <v>66</v>
      </c>
      <c r="J68" s="4" t="s">
        <v>145</v>
      </c>
      <c r="K68" s="4">
        <v>3482</v>
      </c>
      <c r="L68" s="4">
        <v>0</v>
      </c>
    </row>
    <row r="69" spans="1:12" ht="45" x14ac:dyDescent="0.25">
      <c r="A69" s="2">
        <f>IF(BD_Versos[[#This Row],[Tema_Principal]]="","",ROW(BD_Versos[[#This Row],[Tema_Principal]])-1)</f>
        <v>68</v>
      </c>
      <c r="B69" s="3" t="s">
        <v>44</v>
      </c>
      <c r="C69" s="2" t="s">
        <v>133</v>
      </c>
      <c r="D69" s="4" t="s">
        <v>134</v>
      </c>
      <c r="E69" s="4">
        <v>21</v>
      </c>
      <c r="F69" s="5" t="s">
        <v>28</v>
      </c>
      <c r="G69" s="6" t="s">
        <v>411</v>
      </c>
      <c r="H69" s="4">
        <f t="shared" si="8"/>
        <v>69</v>
      </c>
      <c r="I69" s="4">
        <f t="shared" ref="I69:I121" si="9">A68</f>
        <v>67</v>
      </c>
      <c r="J69" s="4" t="s">
        <v>156</v>
      </c>
      <c r="K69" s="4">
        <v>3482</v>
      </c>
      <c r="L69" s="4">
        <v>0</v>
      </c>
    </row>
    <row r="70" spans="1:12" ht="120" x14ac:dyDescent="0.25">
      <c r="A70" s="2">
        <f>IF(BD_Versos[[#This Row],[Tema_Principal]]="","",ROW(BD_Versos[[#This Row],[Tema_Principal]])-1)</f>
        <v>69</v>
      </c>
      <c r="B70" s="3" t="s">
        <v>44</v>
      </c>
      <c r="C70" s="2" t="s">
        <v>133</v>
      </c>
      <c r="D70" s="4" t="s">
        <v>48</v>
      </c>
      <c r="E70" s="4">
        <v>1</v>
      </c>
      <c r="F70" s="5" t="s">
        <v>146</v>
      </c>
      <c r="G70" s="6" t="s">
        <v>412</v>
      </c>
      <c r="H70" s="4">
        <f t="shared" si="8"/>
        <v>70</v>
      </c>
      <c r="I70" s="4">
        <f t="shared" si="9"/>
        <v>68</v>
      </c>
      <c r="J70" s="4" t="s">
        <v>147</v>
      </c>
      <c r="K70" s="4">
        <v>3482</v>
      </c>
      <c r="L70" s="4">
        <v>0</v>
      </c>
    </row>
    <row r="71" spans="1:12" ht="45" x14ac:dyDescent="0.25">
      <c r="A71" s="2">
        <f>IF(BD_Versos[[#This Row],[Tema_Principal]]="","",ROW(BD_Versos[[#This Row],[Tema_Principal]])-1)</f>
        <v>70</v>
      </c>
      <c r="B71" s="3" t="s">
        <v>44</v>
      </c>
      <c r="C71" s="2" t="s">
        <v>133</v>
      </c>
      <c r="D71" s="4" t="s">
        <v>48</v>
      </c>
      <c r="E71" s="4">
        <v>2</v>
      </c>
      <c r="F71" s="5" t="s">
        <v>43</v>
      </c>
      <c r="G71" s="6" t="s">
        <v>413</v>
      </c>
      <c r="H71" s="4">
        <f t="shared" si="8"/>
        <v>71</v>
      </c>
      <c r="I71" s="4">
        <f t="shared" si="9"/>
        <v>69</v>
      </c>
      <c r="J71" s="4" t="s">
        <v>148</v>
      </c>
      <c r="K71" s="4">
        <v>3482</v>
      </c>
      <c r="L71" s="4">
        <v>0</v>
      </c>
    </row>
    <row r="72" spans="1:12" ht="30" x14ac:dyDescent="0.25">
      <c r="A72" s="2">
        <f>IF(BD_Versos[[#This Row],[Tema_Principal]]="","",ROW(BD_Versos[[#This Row],[Tema_Principal]])-1)</f>
        <v>71</v>
      </c>
      <c r="B72" s="3" t="s">
        <v>44</v>
      </c>
      <c r="C72" s="2" t="s">
        <v>133</v>
      </c>
      <c r="D72" s="4" t="s">
        <v>71</v>
      </c>
      <c r="E72" s="4">
        <v>109</v>
      </c>
      <c r="F72" s="5" t="s">
        <v>34</v>
      </c>
      <c r="G72" s="6" t="s">
        <v>414</v>
      </c>
      <c r="H72" s="4">
        <f t="shared" si="8"/>
        <v>72</v>
      </c>
      <c r="I72" s="4">
        <f t="shared" si="9"/>
        <v>70</v>
      </c>
      <c r="K72" s="4">
        <v>3482</v>
      </c>
      <c r="L72" s="4">
        <v>0</v>
      </c>
    </row>
    <row r="73" spans="1:12" ht="60" x14ac:dyDescent="0.25">
      <c r="A73" s="2">
        <f>IF(BD_Versos[[#This Row],[Tema_Principal]]="","",ROW(BD_Versos[[#This Row],[Tema_Principal]])-1)</f>
        <v>72</v>
      </c>
      <c r="B73" s="3" t="s">
        <v>44</v>
      </c>
      <c r="C73" s="2" t="s">
        <v>133</v>
      </c>
      <c r="D73" s="4" t="s">
        <v>135</v>
      </c>
      <c r="E73" s="4">
        <v>3</v>
      </c>
      <c r="F73" s="5" t="s">
        <v>28</v>
      </c>
      <c r="G73" s="6" t="s">
        <v>415</v>
      </c>
      <c r="H73" s="4">
        <f t="shared" si="8"/>
        <v>73</v>
      </c>
      <c r="I73" s="4">
        <f t="shared" si="9"/>
        <v>71</v>
      </c>
      <c r="J73" s="4" t="s">
        <v>149</v>
      </c>
      <c r="K73" s="4">
        <v>3482</v>
      </c>
      <c r="L73" s="4">
        <v>0</v>
      </c>
    </row>
    <row r="74" spans="1:12" ht="45" x14ac:dyDescent="0.25">
      <c r="A74" s="2">
        <f>IF(BD_Versos[[#This Row],[Tema_Principal]]="","",ROW(BD_Versos[[#This Row],[Tema_Principal]])-1)</f>
        <v>73</v>
      </c>
      <c r="B74" s="3" t="s">
        <v>44</v>
      </c>
      <c r="C74" s="2" t="s">
        <v>133</v>
      </c>
      <c r="D74" s="4" t="s">
        <v>50</v>
      </c>
      <c r="E74" s="4">
        <v>4</v>
      </c>
      <c r="F74" s="5" t="s">
        <v>28</v>
      </c>
      <c r="G74" s="6" t="s">
        <v>416</v>
      </c>
      <c r="H74" s="4">
        <f t="shared" si="8"/>
        <v>74</v>
      </c>
      <c r="I74" s="4">
        <f t="shared" si="9"/>
        <v>72</v>
      </c>
      <c r="J74" s="4" t="s">
        <v>150</v>
      </c>
      <c r="K74" s="4">
        <v>3482</v>
      </c>
      <c r="L74" s="4">
        <v>0</v>
      </c>
    </row>
    <row r="75" spans="1:12" ht="45" x14ac:dyDescent="0.25">
      <c r="A75" s="2">
        <f>IF(BD_Versos[[#This Row],[Tema_Principal]]="","",ROW(BD_Versos[[#This Row],[Tema_Principal]])-1)</f>
        <v>74</v>
      </c>
      <c r="B75" s="3" t="s">
        <v>44</v>
      </c>
      <c r="C75" s="2" t="s">
        <v>133</v>
      </c>
      <c r="D75" s="4" t="s">
        <v>50</v>
      </c>
      <c r="E75" s="4">
        <v>4</v>
      </c>
      <c r="F75" s="5" t="s">
        <v>38</v>
      </c>
      <c r="G75" s="6" t="s">
        <v>417</v>
      </c>
      <c r="H75" s="4">
        <f t="shared" si="8"/>
        <v>75</v>
      </c>
      <c r="I75" s="4">
        <f t="shared" si="9"/>
        <v>73</v>
      </c>
      <c r="K75" s="4">
        <v>3482</v>
      </c>
      <c r="L75" s="4">
        <v>0</v>
      </c>
    </row>
    <row r="76" spans="1:12" ht="75" x14ac:dyDescent="0.25">
      <c r="A76" s="2">
        <f>IF(BD_Versos[[#This Row],[Tema_Principal]]="","",ROW(BD_Versos[[#This Row],[Tema_Principal]])-1)</f>
        <v>75</v>
      </c>
      <c r="B76" s="3" t="s">
        <v>44</v>
      </c>
      <c r="C76" s="2" t="s">
        <v>133</v>
      </c>
      <c r="D76" s="4" t="s">
        <v>50</v>
      </c>
      <c r="E76" s="4">
        <v>8</v>
      </c>
      <c r="F76" s="5" t="s">
        <v>136</v>
      </c>
      <c r="G76" s="6" t="s">
        <v>418</v>
      </c>
      <c r="H76" s="4">
        <f t="shared" si="8"/>
        <v>76</v>
      </c>
      <c r="I76" s="4">
        <f t="shared" si="9"/>
        <v>74</v>
      </c>
      <c r="K76" s="4">
        <v>3482</v>
      </c>
      <c r="L76" s="4">
        <v>0</v>
      </c>
    </row>
    <row r="77" spans="1:12" ht="30" x14ac:dyDescent="0.25">
      <c r="A77" s="2">
        <f>IF(BD_Versos[[#This Row],[Tema_Principal]]="","",ROW(BD_Versos[[#This Row],[Tema_Principal]])-1)</f>
        <v>76</v>
      </c>
      <c r="B77" s="3" t="s">
        <v>44</v>
      </c>
      <c r="C77" s="2" t="s">
        <v>133</v>
      </c>
      <c r="D77" s="4" t="s">
        <v>50</v>
      </c>
      <c r="E77" s="4">
        <v>13</v>
      </c>
      <c r="F77" s="5" t="s">
        <v>122</v>
      </c>
      <c r="G77" s="6" t="s">
        <v>419</v>
      </c>
      <c r="H77" s="4">
        <f t="shared" si="8"/>
        <v>77</v>
      </c>
      <c r="I77" s="4">
        <f t="shared" si="9"/>
        <v>75</v>
      </c>
      <c r="K77" s="4">
        <v>3482</v>
      </c>
      <c r="L77" s="4">
        <v>0</v>
      </c>
    </row>
    <row r="78" spans="1:12" ht="60" x14ac:dyDescent="0.25">
      <c r="A78" s="2">
        <f>IF(BD_Versos[[#This Row],[Tema_Principal]]="","",ROW(BD_Versos[[#This Row],[Tema_Principal]])-1)</f>
        <v>77</v>
      </c>
      <c r="B78" s="3" t="s">
        <v>44</v>
      </c>
      <c r="C78" s="2" t="s">
        <v>133</v>
      </c>
      <c r="D78" s="4" t="s">
        <v>50</v>
      </c>
      <c r="E78" s="4">
        <v>13</v>
      </c>
      <c r="F78" s="5" t="s">
        <v>137</v>
      </c>
      <c r="G78" s="6" t="s">
        <v>420</v>
      </c>
      <c r="H78" s="4">
        <f t="shared" si="8"/>
        <v>78</v>
      </c>
      <c r="I78" s="4">
        <f t="shared" si="9"/>
        <v>76</v>
      </c>
      <c r="J78" s="4" t="s">
        <v>151</v>
      </c>
      <c r="K78" s="4">
        <v>3482</v>
      </c>
      <c r="L78" s="4">
        <v>0</v>
      </c>
    </row>
    <row r="79" spans="1:12" ht="30" x14ac:dyDescent="0.25">
      <c r="A79" s="2">
        <f>IF(BD_Versos[[#This Row],[Tema_Principal]]="","",ROW(BD_Versos[[#This Row],[Tema_Principal]])-1)</f>
        <v>78</v>
      </c>
      <c r="B79" s="3" t="s">
        <v>44</v>
      </c>
      <c r="C79" s="2" t="s">
        <v>133</v>
      </c>
      <c r="D79" s="4" t="s">
        <v>50</v>
      </c>
      <c r="E79" s="4">
        <v>13</v>
      </c>
      <c r="F79" s="5" t="s">
        <v>138</v>
      </c>
      <c r="G79" s="6" t="s">
        <v>421</v>
      </c>
      <c r="H79" s="4">
        <f t="shared" si="8"/>
        <v>79</v>
      </c>
      <c r="I79" s="4">
        <f t="shared" si="9"/>
        <v>77</v>
      </c>
      <c r="J79" s="4" t="s">
        <v>152</v>
      </c>
      <c r="K79" s="4">
        <v>3482</v>
      </c>
      <c r="L79" s="4">
        <v>0</v>
      </c>
    </row>
    <row r="80" spans="1:12" ht="75" x14ac:dyDescent="0.25">
      <c r="A80" s="2">
        <f>IF(BD_Versos[[#This Row],[Tema_Principal]]="","",ROW(BD_Versos[[#This Row],[Tema_Principal]])-1)</f>
        <v>79</v>
      </c>
      <c r="B80" s="3" t="s">
        <v>44</v>
      </c>
      <c r="C80" s="2" t="s">
        <v>133</v>
      </c>
      <c r="D80" s="4" t="s">
        <v>50</v>
      </c>
      <c r="E80" s="4">
        <v>13</v>
      </c>
      <c r="F80" s="5" t="s">
        <v>153</v>
      </c>
      <c r="G80" s="6" t="s">
        <v>422</v>
      </c>
      <c r="H80" s="4">
        <f t="shared" si="8"/>
        <v>80</v>
      </c>
      <c r="I80" s="4">
        <f t="shared" si="9"/>
        <v>78</v>
      </c>
      <c r="J80" s="4" t="s">
        <v>152</v>
      </c>
      <c r="K80" s="4">
        <v>3482</v>
      </c>
      <c r="L80" s="4">
        <v>0</v>
      </c>
    </row>
    <row r="81" spans="1:12" ht="60" x14ac:dyDescent="0.25">
      <c r="A81" s="2">
        <f>IF(BD_Versos[[#This Row],[Tema_Principal]]="","",ROW(BD_Versos[[#This Row],[Tema_Principal]])-1)</f>
        <v>80</v>
      </c>
      <c r="B81" s="3" t="s">
        <v>44</v>
      </c>
      <c r="C81" s="2" t="s">
        <v>133</v>
      </c>
      <c r="D81" s="4" t="s">
        <v>50</v>
      </c>
      <c r="E81" s="4">
        <v>15</v>
      </c>
      <c r="F81" s="5" t="s">
        <v>114</v>
      </c>
      <c r="G81" s="6" t="s">
        <v>423</v>
      </c>
      <c r="H81" s="4">
        <f t="shared" si="8"/>
        <v>81</v>
      </c>
      <c r="I81" s="4">
        <f t="shared" si="9"/>
        <v>79</v>
      </c>
      <c r="J81" s="4" t="s">
        <v>154</v>
      </c>
      <c r="K81" s="4">
        <v>3482</v>
      </c>
      <c r="L81" s="4">
        <v>0</v>
      </c>
    </row>
    <row r="82" spans="1:12" ht="60" x14ac:dyDescent="0.25">
      <c r="A82" s="2">
        <f>IF(BD_Versos[[#This Row],[Tema_Principal]]="","",ROW(BD_Versos[[#This Row],[Tema_Principal]])-1)</f>
        <v>81</v>
      </c>
      <c r="B82" s="3" t="s">
        <v>44</v>
      </c>
      <c r="C82" s="2" t="s">
        <v>133</v>
      </c>
      <c r="D82" s="4" t="s">
        <v>50</v>
      </c>
      <c r="E82" s="4">
        <v>17</v>
      </c>
      <c r="F82" s="5" t="s">
        <v>31</v>
      </c>
      <c r="G82" s="6" t="s">
        <v>424</v>
      </c>
      <c r="H82" s="4">
        <f t="shared" si="8"/>
        <v>82</v>
      </c>
      <c r="I82" s="4">
        <f t="shared" si="9"/>
        <v>80</v>
      </c>
      <c r="K82" s="4">
        <v>3482</v>
      </c>
      <c r="L82" s="4">
        <v>0</v>
      </c>
    </row>
    <row r="83" spans="1:12" ht="30" x14ac:dyDescent="0.25">
      <c r="A83" s="2">
        <f>IF(BD_Versos[[#This Row],[Tema_Principal]]="","",ROW(BD_Versos[[#This Row],[Tema_Principal]])-1)</f>
        <v>82</v>
      </c>
      <c r="B83" s="3" t="s">
        <v>44</v>
      </c>
      <c r="C83" s="2" t="s">
        <v>133</v>
      </c>
      <c r="D83" s="4" t="s">
        <v>30</v>
      </c>
      <c r="E83" s="4">
        <v>1</v>
      </c>
      <c r="F83" s="5" t="s">
        <v>51</v>
      </c>
      <c r="G83" s="6" t="s">
        <v>425</v>
      </c>
      <c r="H83" s="4">
        <f t="shared" si="8"/>
        <v>83</v>
      </c>
      <c r="I83" s="4">
        <f t="shared" si="9"/>
        <v>81</v>
      </c>
      <c r="K83" s="4">
        <v>3482</v>
      </c>
      <c r="L83" s="4">
        <v>0</v>
      </c>
    </row>
    <row r="84" spans="1:12" ht="60" x14ac:dyDescent="0.25">
      <c r="A84" s="2">
        <f>IF(BD_Versos[[#This Row],[Tema_Principal]]="","",ROW(BD_Versos[[#This Row],[Tema_Principal]])-1)</f>
        <v>83</v>
      </c>
      <c r="B84" s="3" t="s">
        <v>44</v>
      </c>
      <c r="C84" s="2" t="s">
        <v>133</v>
      </c>
      <c r="D84" s="4" t="s">
        <v>30</v>
      </c>
      <c r="E84" s="4">
        <v>4</v>
      </c>
      <c r="F84" s="5" t="s">
        <v>31</v>
      </c>
      <c r="G84" s="6" t="s">
        <v>357</v>
      </c>
      <c r="H84" s="4">
        <f t="shared" si="8"/>
        <v>84</v>
      </c>
      <c r="I84" s="4">
        <f t="shared" si="9"/>
        <v>82</v>
      </c>
      <c r="J84" s="4" t="s">
        <v>151</v>
      </c>
      <c r="K84" s="4">
        <v>3482</v>
      </c>
      <c r="L84" s="4">
        <v>0</v>
      </c>
    </row>
    <row r="85" spans="1:12" ht="45" x14ac:dyDescent="0.25">
      <c r="A85" s="2">
        <f>IF(BD_Versos[[#This Row],[Tema_Principal]]="","",ROW(BD_Versos[[#This Row],[Tema_Principal]])-1)</f>
        <v>84</v>
      </c>
      <c r="B85" s="3" t="s">
        <v>44</v>
      </c>
      <c r="C85" s="2" t="s">
        <v>133</v>
      </c>
      <c r="D85" s="4" t="s">
        <v>30</v>
      </c>
      <c r="E85" s="4">
        <v>5</v>
      </c>
      <c r="F85" s="5" t="s">
        <v>35</v>
      </c>
      <c r="G85" s="6" t="s">
        <v>426</v>
      </c>
      <c r="H85" s="4">
        <f t="shared" si="8"/>
        <v>85</v>
      </c>
      <c r="I85" s="4">
        <f t="shared" si="9"/>
        <v>83</v>
      </c>
      <c r="J85" s="4" t="s">
        <v>154</v>
      </c>
      <c r="K85" s="4">
        <v>3482</v>
      </c>
      <c r="L85" s="4">
        <v>0</v>
      </c>
    </row>
    <row r="86" spans="1:12" ht="60" x14ac:dyDescent="0.25">
      <c r="A86" s="2">
        <f>IF(BD_Versos[[#This Row],[Tema_Principal]]="","",ROW(BD_Versos[[#This Row],[Tema_Principal]])-1)</f>
        <v>85</v>
      </c>
      <c r="B86" s="3" t="s">
        <v>44</v>
      </c>
      <c r="C86" s="2" t="s">
        <v>133</v>
      </c>
      <c r="D86" s="4" t="s">
        <v>30</v>
      </c>
      <c r="E86" s="4">
        <v>9</v>
      </c>
      <c r="F86" s="5" t="s">
        <v>117</v>
      </c>
      <c r="G86" s="6" t="s">
        <v>427</v>
      </c>
      <c r="H86" s="4">
        <f t="shared" si="8"/>
        <v>86</v>
      </c>
      <c r="I86" s="4">
        <f t="shared" si="9"/>
        <v>84</v>
      </c>
      <c r="J86" s="4" t="s">
        <v>154</v>
      </c>
      <c r="K86" s="4">
        <v>3482</v>
      </c>
      <c r="L86" s="4">
        <v>0</v>
      </c>
    </row>
    <row r="87" spans="1:12" ht="60" x14ac:dyDescent="0.25">
      <c r="A87" s="2">
        <f>IF(BD_Versos[[#This Row],[Tema_Principal]]="","",ROW(BD_Versos[[#This Row],[Tema_Principal]])-1)</f>
        <v>86</v>
      </c>
      <c r="B87" s="3" t="s">
        <v>44</v>
      </c>
      <c r="C87" s="2" t="s">
        <v>133</v>
      </c>
      <c r="D87" s="4" t="s">
        <v>30</v>
      </c>
      <c r="E87" s="4">
        <v>9</v>
      </c>
      <c r="F87" s="5" t="s">
        <v>114</v>
      </c>
      <c r="G87" s="6" t="s">
        <v>428</v>
      </c>
      <c r="H87" s="4">
        <f t="shared" si="8"/>
        <v>87</v>
      </c>
      <c r="I87" s="4">
        <f t="shared" si="9"/>
        <v>85</v>
      </c>
      <c r="J87" s="4" t="s">
        <v>154</v>
      </c>
      <c r="K87" s="4">
        <v>3482</v>
      </c>
      <c r="L87" s="4">
        <v>0</v>
      </c>
    </row>
    <row r="88" spans="1:12" ht="30" x14ac:dyDescent="0.25">
      <c r="A88" s="2">
        <f>IF(BD_Versos[[#This Row],[Tema_Principal]]="","",ROW(BD_Versos[[#This Row],[Tema_Principal]])-1)</f>
        <v>87</v>
      </c>
      <c r="B88" s="3" t="s">
        <v>44</v>
      </c>
      <c r="C88" s="2" t="s">
        <v>133</v>
      </c>
      <c r="D88" s="4" t="s">
        <v>33</v>
      </c>
      <c r="E88" s="4">
        <v>4</v>
      </c>
      <c r="F88" s="5" t="s">
        <v>38</v>
      </c>
      <c r="G88" s="6" t="s">
        <v>429</v>
      </c>
      <c r="H88" s="4">
        <f t="shared" si="8"/>
        <v>88</v>
      </c>
      <c r="I88" s="4">
        <f t="shared" si="9"/>
        <v>86</v>
      </c>
      <c r="J88" s="4" t="s">
        <v>150</v>
      </c>
      <c r="K88" s="4">
        <v>3482</v>
      </c>
      <c r="L88" s="4">
        <v>0</v>
      </c>
    </row>
    <row r="89" spans="1:12" ht="60" x14ac:dyDescent="0.25">
      <c r="A89" s="2">
        <f>IF(BD_Versos[[#This Row],[Tema_Principal]]="","",ROW(BD_Versos[[#This Row],[Tema_Principal]])-1)</f>
        <v>88</v>
      </c>
      <c r="B89" s="3" t="s">
        <v>44</v>
      </c>
      <c r="C89" s="2" t="s">
        <v>133</v>
      </c>
      <c r="D89" s="4" t="s">
        <v>33</v>
      </c>
      <c r="E89" s="4">
        <v>4</v>
      </c>
      <c r="F89" s="5" t="s">
        <v>139</v>
      </c>
      <c r="G89" s="6" t="s">
        <v>430</v>
      </c>
      <c r="H89" s="4">
        <f t="shared" si="8"/>
        <v>89</v>
      </c>
      <c r="I89" s="4">
        <f t="shared" si="9"/>
        <v>87</v>
      </c>
      <c r="J89" s="4" t="s">
        <v>150</v>
      </c>
      <c r="K89" s="4">
        <v>3482</v>
      </c>
      <c r="L89" s="4">
        <v>0</v>
      </c>
    </row>
    <row r="90" spans="1:12" ht="60" x14ac:dyDescent="0.25">
      <c r="A90" s="2">
        <f>IF(BD_Versos[[#This Row],[Tema_Principal]]="","",ROW(BD_Versos[[#This Row],[Tema_Principal]])-1)</f>
        <v>89</v>
      </c>
      <c r="B90" s="3" t="s">
        <v>44</v>
      </c>
      <c r="C90" s="2" t="s">
        <v>133</v>
      </c>
      <c r="D90" s="4" t="s">
        <v>33</v>
      </c>
      <c r="E90" s="4">
        <v>8</v>
      </c>
      <c r="F90" s="5" t="s">
        <v>110</v>
      </c>
      <c r="G90" s="6" t="s">
        <v>431</v>
      </c>
      <c r="H90" s="4">
        <f t="shared" si="8"/>
        <v>90</v>
      </c>
      <c r="I90" s="4">
        <f t="shared" si="9"/>
        <v>88</v>
      </c>
      <c r="J90" s="4" t="s">
        <v>151</v>
      </c>
      <c r="K90" s="4">
        <v>3482</v>
      </c>
      <c r="L90" s="4">
        <v>0</v>
      </c>
    </row>
    <row r="91" spans="1:12" ht="75" x14ac:dyDescent="0.25">
      <c r="A91" s="2">
        <f>IF(BD_Versos[[#This Row],[Tema_Principal]]="","",ROW(BD_Versos[[#This Row],[Tema_Principal]])-1)</f>
        <v>90</v>
      </c>
      <c r="B91" s="3" t="s">
        <v>44</v>
      </c>
      <c r="C91" s="2" t="s">
        <v>133</v>
      </c>
      <c r="D91" s="4" t="s">
        <v>33</v>
      </c>
      <c r="E91" s="4">
        <v>8</v>
      </c>
      <c r="F91" s="5" t="s">
        <v>112</v>
      </c>
      <c r="G91" s="6" t="s">
        <v>432</v>
      </c>
      <c r="H91" s="4">
        <f t="shared" si="8"/>
        <v>91</v>
      </c>
      <c r="I91" s="4">
        <f t="shared" si="9"/>
        <v>89</v>
      </c>
      <c r="K91" s="4">
        <v>3482</v>
      </c>
      <c r="L91" s="4">
        <v>0</v>
      </c>
    </row>
    <row r="92" spans="1:12" ht="90" x14ac:dyDescent="0.25">
      <c r="A92" s="2">
        <f>IF(BD_Versos[[#This Row],[Tema_Principal]]="","",ROW(BD_Versos[[#This Row],[Tema_Principal]])-1)</f>
        <v>91</v>
      </c>
      <c r="B92" s="3" t="s">
        <v>44</v>
      </c>
      <c r="C92" s="2" t="s">
        <v>133</v>
      </c>
      <c r="D92" s="4" t="s">
        <v>33</v>
      </c>
      <c r="E92" s="4">
        <v>8</v>
      </c>
      <c r="F92" s="5" t="s">
        <v>111</v>
      </c>
      <c r="G92" s="6" t="s">
        <v>397</v>
      </c>
      <c r="H92" s="4">
        <f t="shared" si="8"/>
        <v>92</v>
      </c>
      <c r="I92" s="4">
        <f t="shared" si="9"/>
        <v>90</v>
      </c>
      <c r="J92" s="4" t="s">
        <v>154</v>
      </c>
      <c r="K92" s="4">
        <v>3482</v>
      </c>
      <c r="L92" s="4">
        <v>0</v>
      </c>
    </row>
    <row r="93" spans="1:12" ht="60" x14ac:dyDescent="0.25">
      <c r="A93" s="2">
        <f>IF(BD_Versos[[#This Row],[Tema_Principal]]="","",ROW(BD_Versos[[#This Row],[Tema_Principal]])-1)</f>
        <v>92</v>
      </c>
      <c r="B93" s="3" t="s">
        <v>44</v>
      </c>
      <c r="C93" s="2" t="s">
        <v>133</v>
      </c>
      <c r="D93" s="4" t="s">
        <v>33</v>
      </c>
      <c r="E93" s="4">
        <v>9</v>
      </c>
      <c r="F93" s="5" t="s">
        <v>140</v>
      </c>
      <c r="G93" s="6" t="s">
        <v>433</v>
      </c>
      <c r="H93" s="4">
        <f t="shared" si="8"/>
        <v>93</v>
      </c>
      <c r="I93" s="4">
        <f t="shared" si="9"/>
        <v>91</v>
      </c>
      <c r="J93" s="4" t="s">
        <v>154</v>
      </c>
      <c r="K93" s="4">
        <v>3482</v>
      </c>
      <c r="L93" s="4">
        <v>0</v>
      </c>
    </row>
    <row r="94" spans="1:12" ht="60" x14ac:dyDescent="0.25">
      <c r="A94" s="2">
        <f>IF(BD_Versos[[#This Row],[Tema_Principal]]="","",ROW(BD_Versos[[#This Row],[Tema_Principal]])-1)</f>
        <v>93</v>
      </c>
      <c r="B94" s="3" t="s">
        <v>44</v>
      </c>
      <c r="C94" s="2" t="s">
        <v>133</v>
      </c>
      <c r="D94" s="4" t="s">
        <v>33</v>
      </c>
      <c r="E94" s="4">
        <v>9</v>
      </c>
      <c r="F94" s="5" t="s">
        <v>141</v>
      </c>
      <c r="G94" s="6" t="s">
        <v>434</v>
      </c>
      <c r="H94" s="4">
        <f t="shared" si="8"/>
        <v>94</v>
      </c>
      <c r="I94" s="4">
        <f t="shared" si="9"/>
        <v>92</v>
      </c>
      <c r="J94" s="4" t="s">
        <v>154</v>
      </c>
      <c r="K94" s="4">
        <v>3482</v>
      </c>
      <c r="L94" s="4">
        <v>0</v>
      </c>
    </row>
    <row r="95" spans="1:12" ht="60" x14ac:dyDescent="0.25">
      <c r="A95" s="2">
        <f>IF(BD_Versos[[#This Row],[Tema_Principal]]="","",ROW(BD_Versos[[#This Row],[Tema_Principal]])-1)</f>
        <v>94</v>
      </c>
      <c r="B95" s="3" t="s">
        <v>44</v>
      </c>
      <c r="C95" s="2" t="s">
        <v>133</v>
      </c>
      <c r="D95" s="4" t="s">
        <v>33</v>
      </c>
      <c r="E95" s="4">
        <v>13</v>
      </c>
      <c r="F95" s="5" t="s">
        <v>124</v>
      </c>
      <c r="G95" s="6" t="s">
        <v>399</v>
      </c>
      <c r="H95" s="4">
        <f t="shared" si="8"/>
        <v>95</v>
      </c>
      <c r="I95" s="4">
        <f t="shared" si="9"/>
        <v>93</v>
      </c>
      <c r="J95" s="4" t="s">
        <v>148</v>
      </c>
      <c r="K95" s="4">
        <v>3482</v>
      </c>
      <c r="L95" s="4">
        <v>0</v>
      </c>
    </row>
    <row r="96" spans="1:12" ht="45" x14ac:dyDescent="0.25">
      <c r="A96" s="2">
        <f>IF(BD_Versos[[#This Row],[Tema_Principal]]="","",ROW(BD_Versos[[#This Row],[Tema_Principal]])-1)</f>
        <v>95</v>
      </c>
      <c r="B96" s="3" t="s">
        <v>44</v>
      </c>
      <c r="C96" s="2" t="s">
        <v>133</v>
      </c>
      <c r="D96" s="4" t="s">
        <v>33</v>
      </c>
      <c r="E96" s="4">
        <v>22</v>
      </c>
      <c r="F96" s="5" t="s">
        <v>38</v>
      </c>
      <c r="G96" s="6" t="s">
        <v>435</v>
      </c>
      <c r="H96" s="4">
        <f t="shared" si="8"/>
        <v>96</v>
      </c>
      <c r="I96" s="4">
        <f t="shared" si="9"/>
        <v>94</v>
      </c>
      <c r="J96" s="4" t="s">
        <v>156</v>
      </c>
      <c r="K96" s="4">
        <v>3482</v>
      </c>
      <c r="L96" s="4">
        <v>0</v>
      </c>
    </row>
    <row r="97" spans="1:12" ht="45" x14ac:dyDescent="0.25">
      <c r="A97" s="2">
        <f>IF(BD_Versos[[#This Row],[Tema_Principal]]="","",ROW(BD_Versos[[#This Row],[Tema_Principal]])-1)</f>
        <v>96</v>
      </c>
      <c r="B97" s="3" t="s">
        <v>44</v>
      </c>
      <c r="C97" s="2" t="s">
        <v>133</v>
      </c>
      <c r="D97" s="4" t="s">
        <v>33</v>
      </c>
      <c r="E97" s="4">
        <v>22</v>
      </c>
      <c r="F97" s="5" t="s">
        <v>142</v>
      </c>
      <c r="G97" s="6" t="s">
        <v>436</v>
      </c>
      <c r="H97" s="4">
        <f t="shared" si="8"/>
        <v>97</v>
      </c>
      <c r="I97" s="4">
        <f t="shared" si="9"/>
        <v>95</v>
      </c>
      <c r="K97" s="4">
        <v>3482</v>
      </c>
      <c r="L97" s="4">
        <v>0</v>
      </c>
    </row>
    <row r="98" spans="1:12" ht="90" x14ac:dyDescent="0.25">
      <c r="A98" s="2">
        <f>IF(BD_Versos[[#This Row],[Tema_Principal]]="","",ROW(BD_Versos[[#This Row],[Tema_Principal]])-1)</f>
        <v>97</v>
      </c>
      <c r="B98" s="3" t="s">
        <v>44</v>
      </c>
      <c r="C98" s="2" t="s">
        <v>133</v>
      </c>
      <c r="D98" s="4" t="s">
        <v>91</v>
      </c>
      <c r="E98" s="4">
        <v>8</v>
      </c>
      <c r="F98" s="5" t="s">
        <v>143</v>
      </c>
      <c r="G98" s="6" t="s">
        <v>437</v>
      </c>
      <c r="H98" s="4">
        <f t="shared" si="8"/>
        <v>98</v>
      </c>
      <c r="I98" s="4">
        <f t="shared" si="9"/>
        <v>96</v>
      </c>
      <c r="J98" s="4" t="s">
        <v>155</v>
      </c>
      <c r="K98" s="4">
        <v>3482</v>
      </c>
      <c r="L98" s="4">
        <v>0</v>
      </c>
    </row>
    <row r="99" spans="1:12" ht="45" x14ac:dyDescent="0.25">
      <c r="A99" s="2">
        <f>IF(BD_Versos[[#This Row],[Tema_Principal]]="","",ROW(BD_Versos[[#This Row],[Tema_Principal]])-1)</f>
        <v>98</v>
      </c>
      <c r="B99" s="3" t="s">
        <v>44</v>
      </c>
      <c r="C99" s="2" t="s">
        <v>133</v>
      </c>
      <c r="D99" s="4" t="s">
        <v>91</v>
      </c>
      <c r="E99" s="4">
        <v>13</v>
      </c>
      <c r="F99" s="5" t="s">
        <v>49</v>
      </c>
      <c r="G99" s="6" t="s">
        <v>438</v>
      </c>
      <c r="H99" s="4">
        <f t="shared" si="8"/>
        <v>99</v>
      </c>
      <c r="I99" s="4">
        <f t="shared" si="9"/>
        <v>97</v>
      </c>
      <c r="J99" s="4" t="s">
        <v>156</v>
      </c>
      <c r="K99" s="4">
        <v>3482</v>
      </c>
      <c r="L99" s="4">
        <v>0</v>
      </c>
    </row>
    <row r="100" spans="1:12" ht="45" x14ac:dyDescent="0.25">
      <c r="A100" s="2">
        <f>IF(BD_Versos[[#This Row],[Tema_Principal]]="","",ROW(BD_Versos[[#This Row],[Tema_Principal]])-1)</f>
        <v>99</v>
      </c>
      <c r="B100" s="3" t="s">
        <v>44</v>
      </c>
      <c r="C100" s="2" t="s">
        <v>133</v>
      </c>
      <c r="D100" s="4" t="s">
        <v>91</v>
      </c>
      <c r="E100" s="4">
        <v>13</v>
      </c>
      <c r="F100" s="5" t="s">
        <v>112</v>
      </c>
      <c r="G100" s="6" t="s">
        <v>439</v>
      </c>
      <c r="H100" s="4">
        <f t="shared" si="8"/>
        <v>100</v>
      </c>
      <c r="I100" s="4">
        <f t="shared" si="9"/>
        <v>98</v>
      </c>
      <c r="J100" s="4" t="s">
        <v>156</v>
      </c>
      <c r="K100" s="4">
        <v>3482</v>
      </c>
      <c r="L100" s="4">
        <v>0</v>
      </c>
    </row>
    <row r="101" spans="1:12" ht="60" x14ac:dyDescent="0.25">
      <c r="A101" s="2">
        <f>IF(BD_Versos[[#This Row],[Tema_Principal]]="","",ROW(BD_Versos[[#This Row],[Tema_Principal]])-1)</f>
        <v>100</v>
      </c>
      <c r="B101" s="3" t="s">
        <v>44</v>
      </c>
      <c r="C101" s="2" t="s">
        <v>133</v>
      </c>
      <c r="D101" s="4" t="s">
        <v>13</v>
      </c>
      <c r="E101" s="4">
        <v>5</v>
      </c>
      <c r="F101" s="5" t="s">
        <v>38</v>
      </c>
      <c r="G101" s="6" t="s">
        <v>440</v>
      </c>
      <c r="H101" s="4">
        <f t="shared" si="8"/>
        <v>101</v>
      </c>
      <c r="I101" s="4">
        <f t="shared" si="9"/>
        <v>99</v>
      </c>
      <c r="J101" s="4" t="s">
        <v>156</v>
      </c>
      <c r="K101" s="4">
        <v>3482</v>
      </c>
      <c r="L101" s="4">
        <v>0</v>
      </c>
    </row>
    <row r="102" spans="1:12" ht="30" x14ac:dyDescent="0.25">
      <c r="A102" s="2">
        <f>IF(BD_Versos[[#This Row],[Tema_Principal]]="","",ROW(BD_Versos[[#This Row],[Tema_Principal]])-1)</f>
        <v>101</v>
      </c>
      <c r="B102" s="3" t="s">
        <v>44</v>
      </c>
      <c r="C102" s="2" t="s">
        <v>133</v>
      </c>
      <c r="D102" s="4" t="s">
        <v>36</v>
      </c>
      <c r="E102" s="4">
        <v>2</v>
      </c>
      <c r="F102" s="5" t="s">
        <v>37</v>
      </c>
      <c r="G102" s="6" t="s">
        <v>361</v>
      </c>
      <c r="H102" s="4">
        <f t="shared" si="8"/>
        <v>102</v>
      </c>
      <c r="I102" s="4">
        <f t="shared" si="9"/>
        <v>100</v>
      </c>
      <c r="J102" s="4" t="s">
        <v>156</v>
      </c>
      <c r="K102" s="4">
        <v>3482</v>
      </c>
      <c r="L102" s="4">
        <v>0</v>
      </c>
    </row>
    <row r="103" spans="1:12" ht="60" x14ac:dyDescent="0.25">
      <c r="A103" s="2">
        <f>IF(BD_Versos[[#This Row],[Tema_Principal]]="","",ROW(BD_Versos[[#This Row],[Tema_Principal]])-1)</f>
        <v>102</v>
      </c>
      <c r="B103" s="3" t="s">
        <v>44</v>
      </c>
      <c r="C103" s="2" t="s">
        <v>133</v>
      </c>
      <c r="D103" s="4" t="s">
        <v>36</v>
      </c>
      <c r="E103" s="4">
        <v>11</v>
      </c>
      <c r="F103" s="5" t="s">
        <v>38</v>
      </c>
      <c r="G103" s="6" t="s">
        <v>362</v>
      </c>
      <c r="H103" s="4">
        <f t="shared" si="8"/>
        <v>103</v>
      </c>
      <c r="I103" s="4">
        <f t="shared" si="9"/>
        <v>101</v>
      </c>
      <c r="J103" s="4" t="s">
        <v>156</v>
      </c>
      <c r="K103" s="4">
        <v>3482</v>
      </c>
      <c r="L103" s="4">
        <v>0</v>
      </c>
    </row>
    <row r="104" spans="1:12" ht="75" x14ac:dyDescent="0.25">
      <c r="A104" s="2">
        <f>IF(BD_Versos[[#This Row],[Tema_Principal]]="","",ROW(BD_Versos[[#This Row],[Tema_Principal]])-1)</f>
        <v>103</v>
      </c>
      <c r="B104" s="3" t="s">
        <v>44</v>
      </c>
      <c r="C104" s="2" t="s">
        <v>133</v>
      </c>
      <c r="D104" s="4" t="s">
        <v>36</v>
      </c>
      <c r="E104" s="4">
        <v>12</v>
      </c>
      <c r="F104" s="5" t="s">
        <v>43</v>
      </c>
      <c r="G104" s="6" t="s">
        <v>441</v>
      </c>
      <c r="H104" s="4">
        <f t="shared" si="8"/>
        <v>104</v>
      </c>
      <c r="I104" s="4">
        <f t="shared" si="9"/>
        <v>102</v>
      </c>
      <c r="K104" s="4">
        <v>3482</v>
      </c>
      <c r="L104" s="4">
        <v>0</v>
      </c>
    </row>
    <row r="105" spans="1:12" ht="60" x14ac:dyDescent="0.25">
      <c r="A105" s="2">
        <f>IF(BD_Versos[[#This Row],[Tema_Principal]]="","",ROW(BD_Versos[[#This Row],[Tema_Principal]])-1)</f>
        <v>104</v>
      </c>
      <c r="B105" s="3" t="s">
        <v>44</v>
      </c>
      <c r="C105" s="2" t="s">
        <v>133</v>
      </c>
      <c r="D105" s="4" t="s">
        <v>39</v>
      </c>
      <c r="E105" s="4">
        <v>2</v>
      </c>
      <c r="F105" s="5" t="s">
        <v>49</v>
      </c>
      <c r="G105" s="6" t="s">
        <v>442</v>
      </c>
      <c r="H105" s="4">
        <f t="shared" si="8"/>
        <v>105</v>
      </c>
      <c r="I105" s="4">
        <f t="shared" si="9"/>
        <v>103</v>
      </c>
      <c r="J105" s="4" t="s">
        <v>156</v>
      </c>
      <c r="K105" s="4">
        <v>3482</v>
      </c>
      <c r="L105" s="4">
        <v>0</v>
      </c>
    </row>
    <row r="106" spans="1:12" ht="45" x14ac:dyDescent="0.25">
      <c r="A106" s="2">
        <f>IF(BD_Versos[[#This Row],[Tema_Principal]]="","",ROW(BD_Versos[[#This Row],[Tema_Principal]])-1)</f>
        <v>105</v>
      </c>
      <c r="B106" s="3" t="s">
        <v>44</v>
      </c>
      <c r="C106" s="2" t="s">
        <v>133</v>
      </c>
      <c r="D106" s="4" t="s">
        <v>95</v>
      </c>
      <c r="E106" s="4">
        <v>2</v>
      </c>
      <c r="F106" s="5" t="s">
        <v>108</v>
      </c>
      <c r="G106" s="6" t="s">
        <v>443</v>
      </c>
      <c r="H106" s="4">
        <f t="shared" si="8"/>
        <v>106</v>
      </c>
      <c r="I106" s="4">
        <f t="shared" si="9"/>
        <v>104</v>
      </c>
      <c r="J106" s="4" t="s">
        <v>289</v>
      </c>
      <c r="K106" s="4">
        <v>3482</v>
      </c>
      <c r="L106" s="4">
        <v>0</v>
      </c>
    </row>
    <row r="107" spans="1:12" ht="45" x14ac:dyDescent="0.25">
      <c r="A107" s="2">
        <f>IF(BD_Versos[[#This Row],[Tema_Principal]]="","",ROW(BD_Versos[[#This Row],[Tema_Principal]])-1)</f>
        <v>106</v>
      </c>
      <c r="B107" s="3" t="s">
        <v>44</v>
      </c>
      <c r="C107" s="2" t="s">
        <v>133</v>
      </c>
      <c r="D107" s="4" t="s">
        <v>23</v>
      </c>
      <c r="E107" s="4">
        <v>2</v>
      </c>
      <c r="F107" s="5" t="s">
        <v>51</v>
      </c>
      <c r="G107" s="6" t="s">
        <v>405</v>
      </c>
      <c r="H107" s="4">
        <f t="shared" si="8"/>
        <v>107</v>
      </c>
      <c r="I107" s="4">
        <f t="shared" si="9"/>
        <v>105</v>
      </c>
      <c r="J107" s="4" t="s">
        <v>289</v>
      </c>
      <c r="K107" s="4">
        <v>3482</v>
      </c>
      <c r="L107" s="4">
        <v>0</v>
      </c>
    </row>
    <row r="108" spans="1:12" ht="45" x14ac:dyDescent="0.25">
      <c r="A108" s="2">
        <f>IF(BD_Versos[[#This Row],[Tema_Principal]]="","",ROW(BD_Versos[[#This Row],[Tema_Principal]])-1)</f>
        <v>107</v>
      </c>
      <c r="B108" s="3" t="s">
        <v>44</v>
      </c>
      <c r="C108" s="2" t="s">
        <v>133</v>
      </c>
      <c r="D108" s="4" t="s">
        <v>100</v>
      </c>
      <c r="E108" s="4">
        <v>5</v>
      </c>
      <c r="F108" s="5" t="s">
        <v>118</v>
      </c>
      <c r="G108" s="6" t="s">
        <v>444</v>
      </c>
      <c r="H108" s="4">
        <f t="shared" si="8"/>
        <v>108</v>
      </c>
      <c r="I108" s="4">
        <f t="shared" si="9"/>
        <v>106</v>
      </c>
      <c r="J108" s="4" t="s">
        <v>157</v>
      </c>
      <c r="K108" s="4">
        <v>3482</v>
      </c>
      <c r="L108" s="4">
        <v>0</v>
      </c>
    </row>
    <row r="109" spans="1:12" ht="75" x14ac:dyDescent="0.25">
      <c r="A109" s="2">
        <f>IF(BD_Versos[[#This Row],[Tema_Principal]]="","",ROW(BD_Versos[[#This Row],[Tema_Principal]])-1)</f>
        <v>108</v>
      </c>
      <c r="B109" s="3" t="s">
        <v>44</v>
      </c>
      <c r="C109" s="2" t="s">
        <v>133</v>
      </c>
      <c r="D109" s="4" t="s">
        <v>42</v>
      </c>
      <c r="E109" s="4">
        <v>2</v>
      </c>
      <c r="F109" s="5" t="s">
        <v>119</v>
      </c>
      <c r="G109" s="6" t="s">
        <v>445</v>
      </c>
      <c r="H109" s="4">
        <f t="shared" si="8"/>
        <v>109</v>
      </c>
      <c r="I109" s="4">
        <f t="shared" si="9"/>
        <v>107</v>
      </c>
      <c r="K109" s="4">
        <v>3482</v>
      </c>
      <c r="L109" s="4">
        <v>0</v>
      </c>
    </row>
    <row r="110" spans="1:12" ht="90" x14ac:dyDescent="0.25">
      <c r="A110" s="2">
        <f>IF(BD_Versos[[#This Row],[Tema_Principal]]="","",ROW(BD_Versos[[#This Row],[Tema_Principal]])-1)</f>
        <v>109</v>
      </c>
      <c r="B110" s="3" t="s">
        <v>44</v>
      </c>
      <c r="C110" s="2" t="s">
        <v>133</v>
      </c>
      <c r="D110" s="4" t="s">
        <v>42</v>
      </c>
      <c r="E110" s="4">
        <v>12</v>
      </c>
      <c r="F110" s="5" t="s">
        <v>119</v>
      </c>
      <c r="G110" s="6" t="s">
        <v>446</v>
      </c>
      <c r="H110" s="4">
        <f t="shared" si="8"/>
        <v>110</v>
      </c>
      <c r="I110" s="4">
        <f t="shared" si="9"/>
        <v>108</v>
      </c>
      <c r="K110" s="4">
        <v>3482</v>
      </c>
      <c r="L110" s="4">
        <v>0</v>
      </c>
    </row>
    <row r="111" spans="1:12" ht="75" x14ac:dyDescent="0.25">
      <c r="A111" s="2">
        <f>IF(BD_Versos[[#This Row],[Tema_Principal]]="","",ROW(BD_Versos[[#This Row],[Tema_Principal]])-1)</f>
        <v>110</v>
      </c>
      <c r="B111" s="3" t="s">
        <v>44</v>
      </c>
      <c r="C111" s="2" t="s">
        <v>133</v>
      </c>
      <c r="D111" s="4" t="s">
        <v>42</v>
      </c>
      <c r="E111" s="4">
        <v>12</v>
      </c>
      <c r="F111" s="5" t="s">
        <v>110</v>
      </c>
      <c r="G111" s="6" t="s">
        <v>447</v>
      </c>
      <c r="I111" s="4">
        <f t="shared" si="9"/>
        <v>109</v>
      </c>
      <c r="K111" s="4">
        <v>3482</v>
      </c>
      <c r="L111" s="4">
        <v>0</v>
      </c>
    </row>
    <row r="112" spans="1:12" ht="75" x14ac:dyDescent="0.25">
      <c r="A112" s="2">
        <f>IF(BD_Versos[[#This Row],[Tema_Principal]]="","",ROW(BD_Versos[[#This Row],[Tema_Principal]])-1)</f>
        <v>111</v>
      </c>
      <c r="B112" s="3" t="s">
        <v>44</v>
      </c>
      <c r="C112" s="2" t="s">
        <v>158</v>
      </c>
      <c r="D112" s="4" t="s">
        <v>46</v>
      </c>
      <c r="E112" s="4">
        <v>3</v>
      </c>
      <c r="F112" s="5" t="s">
        <v>47</v>
      </c>
      <c r="G112" s="6" t="s">
        <v>367</v>
      </c>
      <c r="H112" s="4">
        <f t="shared" si="8"/>
        <v>112</v>
      </c>
      <c r="K112" s="4">
        <v>3483</v>
      </c>
      <c r="L112" s="4">
        <v>0</v>
      </c>
    </row>
    <row r="113" spans="1:12" ht="60" x14ac:dyDescent="0.25">
      <c r="A113" s="2">
        <f>IF(BD_Versos[[#This Row],[Tema_Principal]]="","",ROW(BD_Versos[[#This Row],[Tema_Principal]])-1)</f>
        <v>112</v>
      </c>
      <c r="B113" s="3" t="s">
        <v>44</v>
      </c>
      <c r="C113" s="2" t="s">
        <v>158</v>
      </c>
      <c r="D113" s="4" t="s">
        <v>135</v>
      </c>
      <c r="E113" s="4">
        <v>3</v>
      </c>
      <c r="F113" s="5" t="s">
        <v>49</v>
      </c>
      <c r="G113" s="6" t="s">
        <v>448</v>
      </c>
      <c r="H113" s="4">
        <f t="shared" si="8"/>
        <v>113</v>
      </c>
      <c r="I113" s="4">
        <f>A112</f>
        <v>111</v>
      </c>
      <c r="K113" s="4">
        <v>3483</v>
      </c>
      <c r="L113" s="4">
        <v>0</v>
      </c>
    </row>
    <row r="114" spans="1:12" ht="30" x14ac:dyDescent="0.25">
      <c r="A114" s="2">
        <f>IF(BD_Versos[[#This Row],[Tema_Principal]]="","",ROW(BD_Versos[[#This Row],[Tema_Principal]])-1)</f>
        <v>113</v>
      </c>
      <c r="B114" s="3" t="s">
        <v>44</v>
      </c>
      <c r="C114" s="2" t="s">
        <v>158</v>
      </c>
      <c r="D114" s="4" t="s">
        <v>50</v>
      </c>
      <c r="E114" s="4">
        <v>8</v>
      </c>
      <c r="F114" s="5" t="s">
        <v>142</v>
      </c>
      <c r="G114" s="6" t="s">
        <v>449</v>
      </c>
      <c r="H114" s="4">
        <f t="shared" si="8"/>
        <v>114</v>
      </c>
      <c r="I114" s="4">
        <f t="shared" si="9"/>
        <v>112</v>
      </c>
      <c r="K114" s="4">
        <v>3483</v>
      </c>
      <c r="L114" s="4">
        <v>0</v>
      </c>
    </row>
    <row r="115" spans="1:12" ht="45" x14ac:dyDescent="0.25">
      <c r="A115" s="2">
        <f>IF(BD_Versos[[#This Row],[Tema_Principal]]="","",ROW(BD_Versos[[#This Row],[Tema_Principal]])-1)</f>
        <v>114</v>
      </c>
      <c r="B115" s="3" t="s">
        <v>44</v>
      </c>
      <c r="C115" s="2" t="s">
        <v>158</v>
      </c>
      <c r="D115" s="4" t="s">
        <v>50</v>
      </c>
      <c r="E115" s="4">
        <v>12</v>
      </c>
      <c r="F115" s="5" t="s">
        <v>111</v>
      </c>
      <c r="G115" s="6" t="s">
        <v>379</v>
      </c>
      <c r="H115" s="4">
        <f t="shared" si="8"/>
        <v>115</v>
      </c>
      <c r="I115" s="4">
        <f t="shared" si="9"/>
        <v>113</v>
      </c>
      <c r="K115" s="4">
        <v>3483</v>
      </c>
      <c r="L115" s="4">
        <v>0</v>
      </c>
    </row>
    <row r="116" spans="1:12" ht="45" x14ac:dyDescent="0.25">
      <c r="A116" s="2">
        <f>IF(BD_Versos[[#This Row],[Tema_Principal]]="","",ROW(BD_Versos[[#This Row],[Tema_Principal]])-1)</f>
        <v>115</v>
      </c>
      <c r="B116" s="3" t="s">
        <v>44</v>
      </c>
      <c r="C116" s="2" t="s">
        <v>158</v>
      </c>
      <c r="D116" s="4" t="s">
        <v>30</v>
      </c>
      <c r="E116" s="4">
        <v>3</v>
      </c>
      <c r="F116" s="5" t="s">
        <v>37</v>
      </c>
      <c r="G116" s="6" t="s">
        <v>450</v>
      </c>
      <c r="H116" s="4">
        <f t="shared" si="8"/>
        <v>116</v>
      </c>
      <c r="I116" s="4">
        <f t="shared" si="9"/>
        <v>114</v>
      </c>
      <c r="K116" s="4">
        <v>3483</v>
      </c>
      <c r="L116" s="4">
        <v>0</v>
      </c>
    </row>
    <row r="117" spans="1:12" ht="30" x14ac:dyDescent="0.25">
      <c r="A117" s="2">
        <f>IF(BD_Versos[[#This Row],[Tema_Principal]]="","",ROW(BD_Versos[[#This Row],[Tema_Principal]])-1)</f>
        <v>116</v>
      </c>
      <c r="B117" s="3" t="s">
        <v>44</v>
      </c>
      <c r="C117" s="2" t="s">
        <v>158</v>
      </c>
      <c r="D117" s="4" t="s">
        <v>30</v>
      </c>
      <c r="E117" s="4">
        <v>5</v>
      </c>
      <c r="F117" s="5" t="s">
        <v>119</v>
      </c>
      <c r="G117" s="6" t="s">
        <v>451</v>
      </c>
      <c r="H117" s="4">
        <f t="shared" si="8"/>
        <v>117</v>
      </c>
      <c r="I117" s="4">
        <f t="shared" si="9"/>
        <v>115</v>
      </c>
      <c r="K117" s="4">
        <v>3483</v>
      </c>
      <c r="L117" s="4">
        <v>0</v>
      </c>
    </row>
    <row r="118" spans="1:12" ht="30" x14ac:dyDescent="0.25">
      <c r="A118" s="2">
        <f>IF(BD_Versos[[#This Row],[Tema_Principal]]="","",ROW(BD_Versos[[#This Row],[Tema_Principal]])-1)</f>
        <v>117</v>
      </c>
      <c r="B118" s="3" t="s">
        <v>44</v>
      </c>
      <c r="C118" s="2" t="s">
        <v>158</v>
      </c>
      <c r="D118" s="4" t="s">
        <v>33</v>
      </c>
      <c r="E118" s="4">
        <v>8</v>
      </c>
      <c r="F118" s="5" t="s">
        <v>142</v>
      </c>
      <c r="G118" s="6" t="s">
        <v>452</v>
      </c>
      <c r="H118" s="4">
        <f t="shared" si="8"/>
        <v>118</v>
      </c>
      <c r="I118" s="4">
        <f t="shared" si="9"/>
        <v>116</v>
      </c>
      <c r="K118" s="4">
        <v>3483</v>
      </c>
      <c r="L118" s="4">
        <v>0</v>
      </c>
    </row>
    <row r="119" spans="1:12" ht="30" x14ac:dyDescent="0.25">
      <c r="A119" s="2">
        <f>IF(BD_Versos[[#This Row],[Tema_Principal]]="","",ROW(BD_Versos[[#This Row],[Tema_Principal]])-1)</f>
        <v>118</v>
      </c>
      <c r="B119" s="3" t="s">
        <v>44</v>
      </c>
      <c r="C119" s="2" t="s">
        <v>158</v>
      </c>
      <c r="D119" s="4" t="s">
        <v>33</v>
      </c>
      <c r="E119" s="4">
        <v>10</v>
      </c>
      <c r="F119" s="5" t="s">
        <v>108</v>
      </c>
      <c r="G119" s="6" t="s">
        <v>453</v>
      </c>
      <c r="H119" s="4">
        <f t="shared" si="8"/>
        <v>119</v>
      </c>
      <c r="I119" s="4">
        <f t="shared" si="9"/>
        <v>117</v>
      </c>
      <c r="K119" s="4">
        <v>3483</v>
      </c>
      <c r="L119" s="4">
        <v>0</v>
      </c>
    </row>
    <row r="120" spans="1:12" ht="60" x14ac:dyDescent="0.25">
      <c r="A120" s="2">
        <f>IF(BD_Versos[[#This Row],[Tema_Principal]]="","",ROW(BD_Versos[[#This Row],[Tema_Principal]])-1)</f>
        <v>119</v>
      </c>
      <c r="B120" s="3" t="s">
        <v>44</v>
      </c>
      <c r="C120" s="2" t="s">
        <v>158</v>
      </c>
      <c r="D120" s="4" t="s">
        <v>42</v>
      </c>
      <c r="E120" s="4">
        <v>12</v>
      </c>
      <c r="F120" s="5" t="s">
        <v>41</v>
      </c>
      <c r="G120" s="6" t="s">
        <v>365</v>
      </c>
      <c r="H120" s="4">
        <f t="shared" si="8"/>
        <v>120</v>
      </c>
      <c r="I120" s="4">
        <f t="shared" si="9"/>
        <v>118</v>
      </c>
      <c r="K120" s="4">
        <v>3483</v>
      </c>
      <c r="L120" s="4">
        <v>0</v>
      </c>
    </row>
    <row r="121" spans="1:12" ht="75" x14ac:dyDescent="0.25">
      <c r="A121" s="2">
        <f>IF(BD_Versos[[#This Row],[Tema_Principal]]="","",ROW(BD_Versos[[#This Row],[Tema_Principal]])-1)</f>
        <v>120</v>
      </c>
      <c r="B121" s="3" t="s">
        <v>44</v>
      </c>
      <c r="C121" s="2" t="s">
        <v>158</v>
      </c>
      <c r="D121" s="4" t="s">
        <v>42</v>
      </c>
      <c r="E121" s="4">
        <v>20</v>
      </c>
      <c r="F121" s="5" t="s">
        <v>38</v>
      </c>
      <c r="G121" s="6" t="s">
        <v>454</v>
      </c>
      <c r="I121" s="4">
        <f t="shared" si="9"/>
        <v>119</v>
      </c>
      <c r="K121" s="4">
        <v>3483</v>
      </c>
      <c r="L121" s="4">
        <v>0</v>
      </c>
    </row>
    <row r="122" spans="1:12" ht="45" x14ac:dyDescent="0.25">
      <c r="A122" s="2">
        <f>IF(BD_Versos[[#This Row],[Tema_Principal]]="","",ROW(BD_Versos[[#This Row],[Tema_Principal]])-1)</f>
        <v>121</v>
      </c>
      <c r="B122" s="3" t="s">
        <v>44</v>
      </c>
      <c r="C122" s="2" t="s">
        <v>159</v>
      </c>
      <c r="D122" s="4" t="s">
        <v>46</v>
      </c>
      <c r="E122" s="4">
        <v>3</v>
      </c>
      <c r="F122" s="5" t="s">
        <v>35</v>
      </c>
      <c r="G122" s="6" t="s">
        <v>455</v>
      </c>
      <c r="H122" s="4">
        <f t="shared" ref="H122:H123" si="10">A123</f>
        <v>122</v>
      </c>
      <c r="J122" s="4" t="s">
        <v>160</v>
      </c>
      <c r="K122" s="4">
        <v>3484</v>
      </c>
      <c r="L122" s="4">
        <v>0</v>
      </c>
    </row>
    <row r="123" spans="1:12" ht="60" x14ac:dyDescent="0.25">
      <c r="A123" s="2">
        <f>IF(BD_Versos[[#This Row],[Tema_Principal]]="","",ROW(BD_Versos[[#This Row],[Tema_Principal]])-1)</f>
        <v>122</v>
      </c>
      <c r="B123" s="3" t="s">
        <v>44</v>
      </c>
      <c r="C123" s="2" t="s">
        <v>159</v>
      </c>
      <c r="D123" s="4" t="s">
        <v>50</v>
      </c>
      <c r="E123" s="4">
        <v>4</v>
      </c>
      <c r="F123" s="5" t="s">
        <v>34</v>
      </c>
      <c r="G123" s="6" t="s">
        <v>456</v>
      </c>
      <c r="H123" s="4">
        <f t="shared" si="10"/>
        <v>123</v>
      </c>
      <c r="I123" s="4">
        <f t="shared" ref="I123" si="11">A122</f>
        <v>121</v>
      </c>
      <c r="J123" s="4" t="s">
        <v>161</v>
      </c>
      <c r="K123" s="4">
        <v>3484</v>
      </c>
      <c r="L123" s="4">
        <v>0</v>
      </c>
    </row>
    <row r="124" spans="1:12" ht="45" x14ac:dyDescent="0.25">
      <c r="A124" s="2">
        <f>IF(BD_Versos[[#This Row],[Tema_Principal]]="","",ROW(BD_Versos[[#This Row],[Tema_Principal]])-1)</f>
        <v>123</v>
      </c>
      <c r="B124" s="3" t="s">
        <v>44</v>
      </c>
      <c r="C124" s="2" t="s">
        <v>159</v>
      </c>
      <c r="D124" s="4" t="s">
        <v>30</v>
      </c>
      <c r="E124" s="4">
        <v>1</v>
      </c>
      <c r="F124" s="5" t="s">
        <v>113</v>
      </c>
      <c r="G124" s="6" t="s">
        <v>457</v>
      </c>
      <c r="H124" s="4">
        <f t="shared" ref="H124:H129" si="12">A125</f>
        <v>124</v>
      </c>
      <c r="I124" s="4">
        <f t="shared" ref="I124:I130" si="13">A123</f>
        <v>122</v>
      </c>
      <c r="K124" s="4">
        <v>3484</v>
      </c>
      <c r="L124" s="4">
        <v>0</v>
      </c>
    </row>
    <row r="125" spans="1:12" ht="90" x14ac:dyDescent="0.25">
      <c r="A125" s="2">
        <f>IF(BD_Versos[[#This Row],[Tema_Principal]]="","",ROW(BD_Versos[[#This Row],[Tema_Principal]])-1)</f>
        <v>124</v>
      </c>
      <c r="B125" s="3" t="s">
        <v>44</v>
      </c>
      <c r="C125" s="2" t="s">
        <v>159</v>
      </c>
      <c r="D125" s="4" t="s">
        <v>91</v>
      </c>
      <c r="E125" s="4">
        <v>8</v>
      </c>
      <c r="F125" s="5" t="s">
        <v>143</v>
      </c>
      <c r="G125" s="6" t="s">
        <v>437</v>
      </c>
      <c r="H125" s="4">
        <f t="shared" si="12"/>
        <v>125</v>
      </c>
      <c r="I125" s="4">
        <f t="shared" si="13"/>
        <v>123</v>
      </c>
      <c r="K125" s="4">
        <v>3484</v>
      </c>
      <c r="L125" s="4">
        <v>0</v>
      </c>
    </row>
    <row r="126" spans="1:12" ht="30" x14ac:dyDescent="0.25">
      <c r="A126" s="2">
        <f>IF(BD_Versos[[#This Row],[Tema_Principal]]="","",ROW(BD_Versos[[#This Row],[Tema_Principal]])-1)</f>
        <v>125</v>
      </c>
      <c r="B126" s="3" t="s">
        <v>44</v>
      </c>
      <c r="C126" s="2" t="s">
        <v>159</v>
      </c>
      <c r="D126" s="4" t="s">
        <v>36</v>
      </c>
      <c r="E126" s="4">
        <v>2</v>
      </c>
      <c r="F126" s="5" t="s">
        <v>37</v>
      </c>
      <c r="G126" s="6" t="s">
        <v>361</v>
      </c>
      <c r="H126" s="4">
        <f t="shared" si="12"/>
        <v>126</v>
      </c>
      <c r="I126" s="4">
        <f t="shared" si="13"/>
        <v>124</v>
      </c>
      <c r="J126" s="4" t="s">
        <v>162</v>
      </c>
      <c r="K126" s="4">
        <v>3484</v>
      </c>
      <c r="L126" s="4">
        <v>0</v>
      </c>
    </row>
    <row r="127" spans="1:12" ht="30" x14ac:dyDescent="0.25">
      <c r="A127" s="2">
        <f>IF(BD_Versos[[#This Row],[Tema_Principal]]="","",ROW(BD_Versos[[#This Row],[Tema_Principal]])-1)</f>
        <v>126</v>
      </c>
      <c r="B127" s="3" t="s">
        <v>44</v>
      </c>
      <c r="C127" s="2" t="s">
        <v>159</v>
      </c>
      <c r="D127" s="4" t="s">
        <v>36</v>
      </c>
      <c r="E127" s="4">
        <v>11</v>
      </c>
      <c r="F127" s="5" t="s">
        <v>47</v>
      </c>
      <c r="G127" s="6" t="s">
        <v>372</v>
      </c>
      <c r="H127" s="4">
        <f t="shared" si="12"/>
        <v>127</v>
      </c>
      <c r="I127" s="4">
        <f t="shared" si="13"/>
        <v>125</v>
      </c>
      <c r="J127" s="4" t="s">
        <v>163</v>
      </c>
      <c r="K127" s="4">
        <v>3484</v>
      </c>
      <c r="L127" s="4">
        <v>0</v>
      </c>
    </row>
    <row r="128" spans="1:12" ht="90" x14ac:dyDescent="0.25">
      <c r="A128" s="2">
        <f>IF(BD_Versos[[#This Row],[Tema_Principal]]="","",ROW(BD_Versos[[#This Row],[Tema_Principal]])-1)</f>
        <v>127</v>
      </c>
      <c r="B128" s="3" t="s">
        <v>44</v>
      </c>
      <c r="C128" s="2" t="s">
        <v>159</v>
      </c>
      <c r="D128" s="4" t="s">
        <v>42</v>
      </c>
      <c r="E128" s="4">
        <v>13</v>
      </c>
      <c r="F128" s="5" t="s">
        <v>47</v>
      </c>
      <c r="G128" s="6" t="s">
        <v>458</v>
      </c>
      <c r="H128" s="4">
        <f t="shared" si="12"/>
        <v>128</v>
      </c>
      <c r="I128" s="4">
        <f t="shared" si="13"/>
        <v>126</v>
      </c>
      <c r="K128" s="4">
        <v>3484</v>
      </c>
      <c r="L128" s="4">
        <v>0</v>
      </c>
    </row>
    <row r="129" spans="1:12" ht="105" x14ac:dyDescent="0.25">
      <c r="A129" s="2">
        <f>IF(BD_Versos[[#This Row],[Tema_Principal]]="","",ROW(BD_Versos[[#This Row],[Tema_Principal]])-1)</f>
        <v>128</v>
      </c>
      <c r="B129" s="3" t="s">
        <v>44</v>
      </c>
      <c r="C129" s="2" t="s">
        <v>159</v>
      </c>
      <c r="D129" s="4" t="s">
        <v>42</v>
      </c>
      <c r="E129" s="4">
        <v>19</v>
      </c>
      <c r="F129" s="5" t="s">
        <v>117</v>
      </c>
      <c r="G129" s="6" t="s">
        <v>459</v>
      </c>
      <c r="H129" s="4">
        <f t="shared" si="12"/>
        <v>129</v>
      </c>
      <c r="I129" s="4">
        <f t="shared" si="13"/>
        <v>127</v>
      </c>
      <c r="K129" s="4">
        <v>3484</v>
      </c>
      <c r="L129" s="4">
        <v>0</v>
      </c>
    </row>
    <row r="130" spans="1:12" ht="90" x14ac:dyDescent="0.25">
      <c r="A130" s="2">
        <f>IF(BD_Versos[[#This Row],[Tema_Principal]]="","",ROW(BD_Versos[[#This Row],[Tema_Principal]])-1)</f>
        <v>129</v>
      </c>
      <c r="B130" s="3" t="s">
        <v>44</v>
      </c>
      <c r="C130" s="2" t="s">
        <v>159</v>
      </c>
      <c r="D130" s="4" t="s">
        <v>42</v>
      </c>
      <c r="E130" s="4">
        <v>20</v>
      </c>
      <c r="F130" s="5" t="s">
        <v>25</v>
      </c>
      <c r="G130" s="6" t="s">
        <v>460</v>
      </c>
      <c r="I130" s="4">
        <f t="shared" si="13"/>
        <v>128</v>
      </c>
      <c r="K130" s="4">
        <v>3484</v>
      </c>
      <c r="L130" s="4">
        <v>0</v>
      </c>
    </row>
    <row r="131" spans="1:12" ht="45" x14ac:dyDescent="0.25">
      <c r="A131" s="2">
        <f>IF(BD_Versos[[#This Row],[Tema_Principal]]="","",ROW(BD_Versos[[#This Row],[Tema_Principal]])-1)</f>
        <v>130</v>
      </c>
      <c r="B131" s="3" t="s">
        <v>44</v>
      </c>
      <c r="C131" s="2" t="s">
        <v>164</v>
      </c>
      <c r="D131" s="4" t="s">
        <v>58</v>
      </c>
      <c r="E131" s="4">
        <v>13</v>
      </c>
      <c r="F131" s="5" t="s">
        <v>118</v>
      </c>
      <c r="G131" s="6" t="s">
        <v>461</v>
      </c>
      <c r="H131" s="4">
        <f t="shared" ref="H131:H137" si="14">A132</f>
        <v>131</v>
      </c>
      <c r="K131" s="4">
        <v>3485</v>
      </c>
      <c r="L131" s="4">
        <v>0</v>
      </c>
    </row>
    <row r="132" spans="1:12" ht="45" x14ac:dyDescent="0.25">
      <c r="A132" s="2">
        <f>IF(BD_Versos[[#This Row],[Tema_Principal]]="","",ROW(BD_Versos[[#This Row],[Tema_Principal]])-1)</f>
        <v>131</v>
      </c>
      <c r="B132" s="3" t="s">
        <v>44</v>
      </c>
      <c r="C132" s="2" t="s">
        <v>164</v>
      </c>
      <c r="D132" s="4" t="s">
        <v>50</v>
      </c>
      <c r="E132" s="4">
        <v>4</v>
      </c>
      <c r="F132" s="5" t="s">
        <v>119</v>
      </c>
      <c r="G132" s="6" t="s">
        <v>462</v>
      </c>
      <c r="H132" s="4">
        <f t="shared" si="14"/>
        <v>132</v>
      </c>
      <c r="I132" s="4">
        <f t="shared" ref="I132:I138" si="15">A131</f>
        <v>130</v>
      </c>
      <c r="K132" s="4">
        <v>3485</v>
      </c>
      <c r="L132" s="4">
        <v>0</v>
      </c>
    </row>
    <row r="133" spans="1:12" ht="30" x14ac:dyDescent="0.25">
      <c r="A133" s="2">
        <f>IF(BD_Versos[[#This Row],[Tema_Principal]]="","",ROW(BD_Versos[[#This Row],[Tema_Principal]])-1)</f>
        <v>132</v>
      </c>
      <c r="B133" s="3" t="s">
        <v>44</v>
      </c>
      <c r="C133" s="2" t="s">
        <v>164</v>
      </c>
      <c r="D133" s="4" t="s">
        <v>33</v>
      </c>
      <c r="E133" s="4">
        <v>4</v>
      </c>
      <c r="F133" s="5" t="s">
        <v>118</v>
      </c>
      <c r="G133" s="6" t="s">
        <v>463</v>
      </c>
      <c r="H133" s="4">
        <f t="shared" si="14"/>
        <v>133</v>
      </c>
      <c r="I133" s="4">
        <f t="shared" si="15"/>
        <v>131</v>
      </c>
      <c r="K133" s="4">
        <v>3485</v>
      </c>
      <c r="L133" s="4">
        <v>0</v>
      </c>
    </row>
    <row r="134" spans="1:12" ht="30" x14ac:dyDescent="0.25">
      <c r="A134" s="2">
        <f>IF(BD_Versos[[#This Row],[Tema_Principal]]="","",ROW(BD_Versos[[#This Row],[Tema_Principal]])-1)</f>
        <v>133</v>
      </c>
      <c r="B134" s="3" t="s">
        <v>44</v>
      </c>
      <c r="C134" s="2" t="s">
        <v>164</v>
      </c>
      <c r="D134" s="4" t="s">
        <v>39</v>
      </c>
      <c r="E134" s="4">
        <v>4</v>
      </c>
      <c r="F134" s="5" t="s">
        <v>51</v>
      </c>
      <c r="G134" s="6" t="s">
        <v>464</v>
      </c>
      <c r="H134" s="4">
        <f t="shared" si="14"/>
        <v>134</v>
      </c>
      <c r="I134" s="4">
        <f t="shared" si="15"/>
        <v>132</v>
      </c>
      <c r="K134" s="4">
        <v>3485</v>
      </c>
      <c r="L134" s="4">
        <v>0</v>
      </c>
    </row>
    <row r="135" spans="1:12" ht="45" x14ac:dyDescent="0.25">
      <c r="A135" s="2">
        <f>IF(BD_Versos[[#This Row],[Tema_Principal]]="","",ROW(BD_Versos[[#This Row],[Tema_Principal]])-1)</f>
        <v>134</v>
      </c>
      <c r="B135" s="3" t="s">
        <v>44</v>
      </c>
      <c r="C135" s="2" t="s">
        <v>164</v>
      </c>
      <c r="D135" s="4" t="s">
        <v>39</v>
      </c>
      <c r="E135" s="4">
        <v>6</v>
      </c>
      <c r="F135" s="5" t="s">
        <v>37</v>
      </c>
      <c r="G135" s="6" t="s">
        <v>363</v>
      </c>
      <c r="H135" s="4">
        <f t="shared" si="14"/>
        <v>135</v>
      </c>
      <c r="I135" s="4">
        <f t="shared" si="15"/>
        <v>133</v>
      </c>
      <c r="K135" s="4">
        <v>3485</v>
      </c>
      <c r="L135" s="4">
        <v>0</v>
      </c>
    </row>
    <row r="136" spans="1:12" ht="30" x14ac:dyDescent="0.25">
      <c r="A136" s="2">
        <f>IF(BD_Versos[[#This Row],[Tema_Principal]]="","",ROW(BD_Versos[[#This Row],[Tema_Principal]])-1)</f>
        <v>135</v>
      </c>
      <c r="B136" s="3" t="s">
        <v>44</v>
      </c>
      <c r="C136" s="2" t="s">
        <v>164</v>
      </c>
      <c r="D136" s="4" t="s">
        <v>99</v>
      </c>
      <c r="E136" s="4">
        <v>4</v>
      </c>
      <c r="F136" s="5" t="s">
        <v>43</v>
      </c>
      <c r="G136" s="6" t="s">
        <v>465</v>
      </c>
      <c r="H136" s="4">
        <f t="shared" si="14"/>
        <v>136</v>
      </c>
      <c r="I136" s="4">
        <f t="shared" si="15"/>
        <v>134</v>
      </c>
      <c r="K136" s="4">
        <v>3485</v>
      </c>
      <c r="L136" s="4">
        <v>0</v>
      </c>
    </row>
    <row r="137" spans="1:12" ht="45" x14ac:dyDescent="0.25">
      <c r="A137" s="2">
        <f>IF(BD_Versos[[#This Row],[Tema_Principal]]="","",ROW(BD_Versos[[#This Row],[Tema_Principal]])-1)</f>
        <v>136</v>
      </c>
      <c r="B137" s="3" t="s">
        <v>44</v>
      </c>
      <c r="C137" s="2" t="s">
        <v>164</v>
      </c>
      <c r="D137" s="4" t="s">
        <v>100</v>
      </c>
      <c r="E137" s="4">
        <v>5</v>
      </c>
      <c r="F137" s="5" t="s">
        <v>118</v>
      </c>
      <c r="G137" s="6" t="s">
        <v>444</v>
      </c>
      <c r="H137" s="4">
        <f t="shared" si="14"/>
        <v>137</v>
      </c>
      <c r="I137" s="4">
        <f t="shared" si="15"/>
        <v>135</v>
      </c>
      <c r="K137" s="4">
        <v>3485</v>
      </c>
      <c r="L137" s="4">
        <v>0</v>
      </c>
    </row>
    <row r="138" spans="1:12" ht="60" x14ac:dyDescent="0.25">
      <c r="A138" s="2">
        <f>IF(BD_Versos[[#This Row],[Tema_Principal]]="","",ROW(BD_Versos[[#This Row],[Tema_Principal]])-1)</f>
        <v>137</v>
      </c>
      <c r="B138" s="3" t="s">
        <v>44</v>
      </c>
      <c r="C138" s="2" t="s">
        <v>164</v>
      </c>
      <c r="D138" s="4" t="s">
        <v>102</v>
      </c>
      <c r="E138" s="4">
        <v>5</v>
      </c>
      <c r="F138" s="5" t="s">
        <v>108</v>
      </c>
      <c r="G138" s="6" t="s">
        <v>466</v>
      </c>
      <c r="I138" s="4">
        <f t="shared" si="15"/>
        <v>136</v>
      </c>
      <c r="K138" s="4">
        <v>3485</v>
      </c>
      <c r="L138" s="4">
        <v>0</v>
      </c>
    </row>
    <row r="139" spans="1:12" ht="45" x14ac:dyDescent="0.25">
      <c r="A139" s="2">
        <f>IF(BD_Versos[[#This Row],[Tema_Principal]]="","",ROW(BD_Versos[[#This Row],[Tema_Principal]])-1)</f>
        <v>138</v>
      </c>
      <c r="B139" s="3" t="s">
        <v>44</v>
      </c>
      <c r="C139" s="2" t="s">
        <v>165</v>
      </c>
      <c r="D139" s="4" t="s">
        <v>91</v>
      </c>
      <c r="E139" s="4">
        <v>12</v>
      </c>
      <c r="F139" s="5" t="s">
        <v>142</v>
      </c>
      <c r="G139" s="6" t="s">
        <v>467</v>
      </c>
      <c r="H139" s="4">
        <f>A140</f>
        <v>139</v>
      </c>
      <c r="K139" s="4">
        <v>3486</v>
      </c>
      <c r="L139" s="4">
        <v>0</v>
      </c>
    </row>
    <row r="140" spans="1:12" ht="45" x14ac:dyDescent="0.25">
      <c r="A140" s="2">
        <f>IF(BD_Versos[[#This Row],[Tema_Principal]]="","",ROW(BD_Versos[[#This Row],[Tema_Principal]])-1)</f>
        <v>139</v>
      </c>
      <c r="B140" s="3" t="s">
        <v>44</v>
      </c>
      <c r="C140" s="2" t="s">
        <v>165</v>
      </c>
      <c r="D140" s="4" t="s">
        <v>91</v>
      </c>
      <c r="E140" s="4">
        <v>14</v>
      </c>
      <c r="F140" s="5" t="s">
        <v>115</v>
      </c>
      <c r="G140" s="6" t="s">
        <v>384</v>
      </c>
      <c r="H140" s="4">
        <f>A141</f>
        <v>140</v>
      </c>
      <c r="I140" s="4">
        <f>A139</f>
        <v>138</v>
      </c>
      <c r="K140" s="4">
        <v>3486</v>
      </c>
      <c r="L140" s="4">
        <v>0</v>
      </c>
    </row>
    <row r="141" spans="1:12" ht="30" x14ac:dyDescent="0.25">
      <c r="A141" s="2">
        <f>IF(BD_Versos[[#This Row],[Tema_Principal]]="","",ROW(BD_Versos[[#This Row],[Tema_Principal]])-1)</f>
        <v>140</v>
      </c>
      <c r="B141" s="3" t="s">
        <v>44</v>
      </c>
      <c r="C141" s="2" t="s">
        <v>165</v>
      </c>
      <c r="D141" s="4" t="s">
        <v>91</v>
      </c>
      <c r="E141" s="4">
        <v>16</v>
      </c>
      <c r="F141" s="5" t="s">
        <v>37</v>
      </c>
      <c r="G141" s="6" t="s">
        <v>468</v>
      </c>
      <c r="I141" s="4">
        <f>A140</f>
        <v>139</v>
      </c>
      <c r="K141" s="4">
        <v>3486</v>
      </c>
      <c r="L141" s="4">
        <v>0</v>
      </c>
    </row>
    <row r="142" spans="1:12" ht="60" x14ac:dyDescent="0.25">
      <c r="A142" s="2">
        <f>IF(BD_Versos[[#This Row],[Tema_Principal]]="","",ROW(BD_Versos[[#This Row],[Tema_Principal]])-1)</f>
        <v>141</v>
      </c>
      <c r="B142" s="3" t="s">
        <v>309</v>
      </c>
      <c r="C142" s="2" t="s">
        <v>310</v>
      </c>
      <c r="D142" s="4" t="s">
        <v>290</v>
      </c>
      <c r="E142" s="4">
        <v>29</v>
      </c>
      <c r="F142" s="5" t="s">
        <v>119</v>
      </c>
      <c r="G142" s="6" t="s">
        <v>469</v>
      </c>
      <c r="H142" s="4">
        <v>144</v>
      </c>
      <c r="J142" s="4" t="s">
        <v>311</v>
      </c>
      <c r="K142" s="4">
        <v>3672</v>
      </c>
      <c r="L142" s="4">
        <v>0</v>
      </c>
    </row>
    <row r="143" spans="1:12" ht="45" x14ac:dyDescent="0.25">
      <c r="A143" s="2">
        <f>IF(BD_Versos[[#This Row],[Tema_Principal]]="","",ROW(BD_Versos[[#This Row],[Tema_Principal]])-1)</f>
        <v>142</v>
      </c>
      <c r="B143" s="3" t="s">
        <v>309</v>
      </c>
      <c r="C143" s="2" t="s">
        <v>310</v>
      </c>
      <c r="D143" s="4" t="s">
        <v>290</v>
      </c>
      <c r="E143" s="4">
        <v>56</v>
      </c>
      <c r="F143" s="5" t="s">
        <v>119</v>
      </c>
      <c r="G143" s="6" t="s">
        <v>470</v>
      </c>
      <c r="H143" s="4">
        <f>H142+1</f>
        <v>145</v>
      </c>
      <c r="I143" s="4">
        <v>143</v>
      </c>
      <c r="J143" s="4" t="s">
        <v>311</v>
      </c>
      <c r="K143" s="4">
        <v>3672</v>
      </c>
      <c r="L143" s="4">
        <v>0</v>
      </c>
    </row>
    <row r="144" spans="1:12" ht="30" x14ac:dyDescent="0.25">
      <c r="A144" s="2">
        <f>IF(BD_Versos[[#This Row],[Tema_Principal]]="","",ROW(BD_Versos[[#This Row],[Tema_Principal]])-1)</f>
        <v>143</v>
      </c>
      <c r="B144" s="3" t="s">
        <v>309</v>
      </c>
      <c r="C144" s="2" t="s">
        <v>310</v>
      </c>
      <c r="D144" s="4" t="s">
        <v>50</v>
      </c>
      <c r="E144" s="4">
        <v>13</v>
      </c>
      <c r="F144" s="5" t="s">
        <v>138</v>
      </c>
      <c r="G144" s="6" t="s">
        <v>421</v>
      </c>
      <c r="H144" s="4">
        <f t="shared" ref="H144:H148" si="16">H143+1</f>
        <v>146</v>
      </c>
      <c r="I144" s="4">
        <f>I143+1</f>
        <v>144</v>
      </c>
      <c r="J144" s="4" t="s">
        <v>311</v>
      </c>
      <c r="K144" s="4">
        <v>3672</v>
      </c>
      <c r="L144" s="4">
        <v>0</v>
      </c>
    </row>
    <row r="145" spans="1:12" ht="60" x14ac:dyDescent="0.25">
      <c r="A145" s="2">
        <f>IF(BD_Versos[[#This Row],[Tema_Principal]]="","",ROW(BD_Versos[[#This Row],[Tema_Principal]])-1)</f>
        <v>144</v>
      </c>
      <c r="B145" s="3" t="s">
        <v>309</v>
      </c>
      <c r="C145" s="2" t="s">
        <v>310</v>
      </c>
      <c r="D145" s="4" t="s">
        <v>30</v>
      </c>
      <c r="E145" s="4">
        <v>13</v>
      </c>
      <c r="F145" s="5" t="s">
        <v>139</v>
      </c>
      <c r="G145" s="6" t="s">
        <v>471</v>
      </c>
      <c r="H145" s="4">
        <f t="shared" si="16"/>
        <v>147</v>
      </c>
      <c r="I145" s="4">
        <f t="shared" ref="I145:I148" si="17">I144+1</f>
        <v>145</v>
      </c>
      <c r="J145" s="4" t="s">
        <v>311</v>
      </c>
      <c r="K145" s="4">
        <v>3672</v>
      </c>
      <c r="L145" s="4">
        <v>0</v>
      </c>
    </row>
    <row r="146" spans="1:12" ht="45" x14ac:dyDescent="0.25">
      <c r="A146" s="2">
        <f>IF(BD_Versos[[#This Row],[Tema_Principal]]="","",ROW(BD_Versos[[#This Row],[Tema_Principal]])-1)</f>
        <v>145</v>
      </c>
      <c r="B146" s="3" t="s">
        <v>309</v>
      </c>
      <c r="C146" s="2" t="s">
        <v>310</v>
      </c>
      <c r="D146" s="4" t="s">
        <v>92</v>
      </c>
      <c r="E146" s="4">
        <v>11</v>
      </c>
      <c r="F146" s="5" t="s">
        <v>118</v>
      </c>
      <c r="G146" s="6" t="s">
        <v>472</v>
      </c>
      <c r="H146" s="4">
        <f t="shared" si="16"/>
        <v>148</v>
      </c>
      <c r="I146" s="4">
        <f t="shared" si="17"/>
        <v>146</v>
      </c>
      <c r="J146" s="4" t="s">
        <v>311</v>
      </c>
      <c r="K146" s="4">
        <v>3672</v>
      </c>
      <c r="L146" s="4">
        <v>0</v>
      </c>
    </row>
    <row r="147" spans="1:12" ht="75" x14ac:dyDescent="0.25">
      <c r="A147" s="2">
        <f>IF(BD_Versos[[#This Row],[Tema_Principal]]="","",ROW(BD_Versos[[#This Row],[Tema_Principal]])-1)</f>
        <v>146</v>
      </c>
      <c r="B147" s="3" t="s">
        <v>309</v>
      </c>
      <c r="C147" s="2" t="s">
        <v>310</v>
      </c>
      <c r="D147" s="4" t="s">
        <v>92</v>
      </c>
      <c r="E147" s="4">
        <v>13</v>
      </c>
      <c r="F147" s="5" t="s">
        <v>37</v>
      </c>
      <c r="G147" s="6" t="s">
        <v>473</v>
      </c>
      <c r="H147" s="4">
        <f t="shared" si="16"/>
        <v>149</v>
      </c>
      <c r="I147" s="4">
        <f t="shared" si="17"/>
        <v>147</v>
      </c>
      <c r="J147" s="4" t="s">
        <v>311</v>
      </c>
      <c r="K147" s="4">
        <v>3672</v>
      </c>
      <c r="L147" s="4">
        <v>0</v>
      </c>
    </row>
    <row r="148" spans="1:12" ht="30" x14ac:dyDescent="0.25">
      <c r="A148" s="2">
        <f>IF(BD_Versos[[#This Row],[Tema_Principal]]="","",ROW(BD_Versos[[#This Row],[Tema_Principal]])-1)</f>
        <v>147</v>
      </c>
      <c r="B148" s="3" t="s">
        <v>309</v>
      </c>
      <c r="C148" s="2" t="s">
        <v>310</v>
      </c>
      <c r="D148" s="10" t="s">
        <v>95</v>
      </c>
      <c r="E148" s="4">
        <v>5</v>
      </c>
      <c r="F148" s="5" t="s">
        <v>34</v>
      </c>
      <c r="G148" s="6" t="s">
        <v>474</v>
      </c>
      <c r="H148" s="4">
        <f t="shared" si="16"/>
        <v>150</v>
      </c>
      <c r="I148" s="4">
        <f t="shared" si="17"/>
        <v>148</v>
      </c>
      <c r="J148" s="4" t="s">
        <v>311</v>
      </c>
      <c r="K148" s="4">
        <v>3672</v>
      </c>
      <c r="L148" s="4">
        <v>0</v>
      </c>
    </row>
    <row r="149" spans="1:12" ht="45" x14ac:dyDescent="0.25">
      <c r="A149" s="2">
        <f>IF(BD_Versos[[#This Row],[Tema_Principal]]="","",ROW(BD_Versos[[#This Row],[Tema_Principal]])-1)</f>
        <v>148</v>
      </c>
      <c r="B149" s="3" t="s">
        <v>291</v>
      </c>
      <c r="C149" s="2" t="s">
        <v>292</v>
      </c>
      <c r="D149" s="4" t="s">
        <v>294</v>
      </c>
      <c r="E149" s="4">
        <v>19</v>
      </c>
      <c r="F149" s="5" t="s">
        <v>47</v>
      </c>
      <c r="G149" s="6" t="s">
        <v>475</v>
      </c>
      <c r="H149" s="4">
        <f>A150</f>
        <v>149</v>
      </c>
      <c r="K149" s="4">
        <v>3660</v>
      </c>
      <c r="L149" s="4">
        <v>0</v>
      </c>
    </row>
    <row r="150" spans="1:12" ht="90" x14ac:dyDescent="0.25">
      <c r="A150" s="2">
        <f>IF(BD_Versos[[#This Row],[Tema_Principal]]="","",ROW(BD_Versos[[#This Row],[Tema_Principal]])-1)</f>
        <v>149</v>
      </c>
      <c r="B150" s="3" t="s">
        <v>291</v>
      </c>
      <c r="C150" s="2" t="s">
        <v>292</v>
      </c>
      <c r="D150" s="4" t="s">
        <v>63</v>
      </c>
      <c r="E150" s="4">
        <v>19</v>
      </c>
      <c r="F150" s="5" t="s">
        <v>139</v>
      </c>
      <c r="G150" s="6" t="s">
        <v>476</v>
      </c>
      <c r="H150" s="4">
        <f t="shared" ref="H150:H214" si="18">A151</f>
        <v>150</v>
      </c>
      <c r="I150" s="4">
        <f>A149</f>
        <v>148</v>
      </c>
      <c r="K150" s="4">
        <v>3660</v>
      </c>
      <c r="L150" s="4">
        <v>0</v>
      </c>
    </row>
    <row r="151" spans="1:12" ht="60" x14ac:dyDescent="0.25">
      <c r="A151" s="2">
        <f>IF(BD_Versos[[#This Row],[Tema_Principal]]="","",ROW(BD_Versos[[#This Row],[Tema_Principal]])-1)</f>
        <v>150</v>
      </c>
      <c r="B151" s="3" t="s">
        <v>291</v>
      </c>
      <c r="C151" s="2" t="s">
        <v>292</v>
      </c>
      <c r="D151" s="4" t="s">
        <v>295</v>
      </c>
      <c r="E151" s="4">
        <v>12</v>
      </c>
      <c r="F151" s="5" t="s">
        <v>122</v>
      </c>
      <c r="G151" s="6" t="s">
        <v>477</v>
      </c>
      <c r="H151" s="4">
        <f t="shared" si="18"/>
        <v>151</v>
      </c>
      <c r="I151" s="4">
        <f t="shared" ref="I151:I215" si="19">A150</f>
        <v>149</v>
      </c>
      <c r="K151" s="4">
        <v>3660</v>
      </c>
      <c r="L151" s="4">
        <v>0</v>
      </c>
    </row>
    <row r="152" spans="1:12" ht="60" x14ac:dyDescent="0.25">
      <c r="A152" s="2">
        <f>IF(BD_Versos[[#This Row],[Tema_Principal]]="","",ROW(BD_Versos[[#This Row],[Tema_Principal]])-1)</f>
        <v>151</v>
      </c>
      <c r="B152" s="3" t="s">
        <v>291</v>
      </c>
      <c r="C152" s="2" t="s">
        <v>292</v>
      </c>
      <c r="D152" s="4" t="s">
        <v>50</v>
      </c>
      <c r="E152" s="4">
        <v>11</v>
      </c>
      <c r="F152" s="5" t="s">
        <v>35</v>
      </c>
      <c r="G152" s="6" t="s">
        <v>478</v>
      </c>
      <c r="H152" s="4">
        <f t="shared" si="18"/>
        <v>152</v>
      </c>
      <c r="I152" s="4">
        <f t="shared" si="19"/>
        <v>150</v>
      </c>
      <c r="K152" s="4">
        <v>3660</v>
      </c>
      <c r="L152" s="4">
        <v>0</v>
      </c>
    </row>
    <row r="153" spans="1:12" ht="45" x14ac:dyDescent="0.25">
      <c r="A153" s="2">
        <f>IF(BD_Versos[[#This Row],[Tema_Principal]]="","",ROW(BD_Versos[[#This Row],[Tema_Principal]])-1)</f>
        <v>152</v>
      </c>
      <c r="B153" s="3" t="s">
        <v>291</v>
      </c>
      <c r="C153" s="2" t="s">
        <v>292</v>
      </c>
      <c r="D153" s="4" t="s">
        <v>30</v>
      </c>
      <c r="E153" s="4">
        <v>7</v>
      </c>
      <c r="F153" s="5" t="s">
        <v>121</v>
      </c>
      <c r="G153" s="6" t="s">
        <v>479</v>
      </c>
      <c r="H153" s="4">
        <f t="shared" si="18"/>
        <v>153</v>
      </c>
      <c r="I153" s="4">
        <f t="shared" si="19"/>
        <v>151</v>
      </c>
      <c r="K153" s="4">
        <v>3660</v>
      </c>
      <c r="L153" s="4">
        <v>0</v>
      </c>
    </row>
    <row r="154" spans="1:12" ht="60" x14ac:dyDescent="0.25">
      <c r="A154" s="2">
        <f>IF(BD_Versos[[#This Row],[Tema_Principal]]="","",ROW(BD_Versos[[#This Row],[Tema_Principal]])-1)</f>
        <v>153</v>
      </c>
      <c r="B154" s="3" t="s">
        <v>291</v>
      </c>
      <c r="C154" s="2" t="s">
        <v>292</v>
      </c>
      <c r="D154" s="4" t="s">
        <v>30</v>
      </c>
      <c r="E154" s="4">
        <v>9</v>
      </c>
      <c r="F154" s="5" t="s">
        <v>138</v>
      </c>
      <c r="G154" s="6" t="s">
        <v>480</v>
      </c>
      <c r="H154" s="4">
        <f t="shared" si="18"/>
        <v>154</v>
      </c>
      <c r="I154" s="4">
        <f t="shared" si="19"/>
        <v>152</v>
      </c>
      <c r="K154" s="4">
        <v>3660</v>
      </c>
      <c r="L154" s="4">
        <v>0</v>
      </c>
    </row>
    <row r="155" spans="1:12" ht="90" x14ac:dyDescent="0.25">
      <c r="A155" s="2">
        <f>IF(BD_Versos[[#This Row],[Tema_Principal]]="","",ROW(BD_Versos[[#This Row],[Tema_Principal]])-1)</f>
        <v>154</v>
      </c>
      <c r="B155" s="3" t="s">
        <v>291</v>
      </c>
      <c r="C155" s="2" t="s">
        <v>292</v>
      </c>
      <c r="D155" s="4" t="s">
        <v>33</v>
      </c>
      <c r="E155" s="4">
        <v>7</v>
      </c>
      <c r="F155" s="5" t="s">
        <v>114</v>
      </c>
      <c r="G155" s="6" t="s">
        <v>481</v>
      </c>
      <c r="H155" s="4">
        <f t="shared" si="18"/>
        <v>155</v>
      </c>
      <c r="I155" s="4">
        <f t="shared" si="19"/>
        <v>153</v>
      </c>
      <c r="K155" s="4">
        <v>3660</v>
      </c>
      <c r="L155" s="4">
        <v>0</v>
      </c>
    </row>
    <row r="156" spans="1:12" ht="45" x14ac:dyDescent="0.25">
      <c r="A156" s="2">
        <f>IF(BD_Versos[[#This Row],[Tema_Principal]]="","",ROW(BD_Versos[[#This Row],[Tema_Principal]])-1)</f>
        <v>155</v>
      </c>
      <c r="B156" s="3" t="s">
        <v>291</v>
      </c>
      <c r="C156" s="2" t="s">
        <v>293</v>
      </c>
      <c r="D156" s="4" t="s">
        <v>294</v>
      </c>
      <c r="E156" s="4">
        <v>26</v>
      </c>
      <c r="F156" s="5" t="s">
        <v>47</v>
      </c>
      <c r="G156" s="6" t="s">
        <v>482</v>
      </c>
      <c r="H156" s="4">
        <f t="shared" si="18"/>
        <v>156</v>
      </c>
      <c r="I156" s="4">
        <f t="shared" si="19"/>
        <v>154</v>
      </c>
      <c r="J156" s="4" t="s">
        <v>305</v>
      </c>
      <c r="K156" s="4">
        <v>3661</v>
      </c>
      <c r="L156" s="4">
        <v>0</v>
      </c>
    </row>
    <row r="157" spans="1:12" ht="60" x14ac:dyDescent="0.25">
      <c r="A157" s="2">
        <f>IF(BD_Versos[[#This Row],[Tema_Principal]]="","",ROW(BD_Versos[[#This Row],[Tema_Principal]])-1)</f>
        <v>156</v>
      </c>
      <c r="B157" s="3" t="s">
        <v>291</v>
      </c>
      <c r="C157" s="2" t="s">
        <v>293</v>
      </c>
      <c r="D157" s="4" t="s">
        <v>296</v>
      </c>
      <c r="E157" s="4">
        <v>14</v>
      </c>
      <c r="F157" s="5" t="s">
        <v>114</v>
      </c>
      <c r="G157" s="6" t="s">
        <v>483</v>
      </c>
      <c r="H157" s="4">
        <f t="shared" si="18"/>
        <v>157</v>
      </c>
      <c r="I157" s="4">
        <f t="shared" si="19"/>
        <v>155</v>
      </c>
      <c r="J157" s="4" t="s">
        <v>305</v>
      </c>
      <c r="K157" s="4">
        <v>3661</v>
      </c>
      <c r="L157" s="4">
        <v>0</v>
      </c>
    </row>
    <row r="158" spans="1:12" ht="60" x14ac:dyDescent="0.25">
      <c r="A158" s="2">
        <f>IF(BD_Versos[[#This Row],[Tema_Principal]]="","",ROW(BD_Versos[[#This Row],[Tema_Principal]])-1)</f>
        <v>157</v>
      </c>
      <c r="B158" s="3" t="s">
        <v>291</v>
      </c>
      <c r="C158" s="2" t="s">
        <v>293</v>
      </c>
      <c r="D158" s="4" t="s">
        <v>58</v>
      </c>
      <c r="E158" s="4">
        <v>1</v>
      </c>
      <c r="F158" s="5" t="s">
        <v>297</v>
      </c>
      <c r="G158" s="6" t="s">
        <v>484</v>
      </c>
      <c r="H158" s="4">
        <f t="shared" si="18"/>
        <v>158</v>
      </c>
      <c r="I158" s="4">
        <f t="shared" si="19"/>
        <v>156</v>
      </c>
      <c r="J158" s="4" t="s">
        <v>305</v>
      </c>
      <c r="K158" s="4">
        <v>3661</v>
      </c>
      <c r="L158" s="4">
        <v>0</v>
      </c>
    </row>
    <row r="159" spans="1:12" ht="75" x14ac:dyDescent="0.25">
      <c r="A159" s="2">
        <f>IF(BD_Versos[[#This Row],[Tema_Principal]]="","",ROW(BD_Versos[[#This Row],[Tema_Principal]])-1)</f>
        <v>158</v>
      </c>
      <c r="B159" s="3" t="s">
        <v>291</v>
      </c>
      <c r="C159" s="2" t="s">
        <v>293</v>
      </c>
      <c r="D159" s="4" t="s">
        <v>58</v>
      </c>
      <c r="E159" s="4">
        <v>9</v>
      </c>
      <c r="F159" s="5" t="s">
        <v>298</v>
      </c>
      <c r="G159" s="6" t="s">
        <v>485</v>
      </c>
      <c r="H159" s="4">
        <f t="shared" si="18"/>
        <v>159</v>
      </c>
      <c r="I159" s="4">
        <f t="shared" si="19"/>
        <v>157</v>
      </c>
      <c r="J159" s="4" t="s">
        <v>305</v>
      </c>
      <c r="K159" s="4">
        <v>3661</v>
      </c>
      <c r="L159" s="4">
        <v>0</v>
      </c>
    </row>
    <row r="160" spans="1:12" ht="45" x14ac:dyDescent="0.25">
      <c r="A160" s="2">
        <f>IF(BD_Versos[[#This Row],[Tema_Principal]]="","",ROW(BD_Versos[[#This Row],[Tema_Principal]])-1)</f>
        <v>159</v>
      </c>
      <c r="B160" s="3" t="s">
        <v>291</v>
      </c>
      <c r="C160" s="2" t="s">
        <v>293</v>
      </c>
      <c r="D160" s="4" t="s">
        <v>58</v>
      </c>
      <c r="E160" s="4">
        <v>18</v>
      </c>
      <c r="F160" s="5" t="s">
        <v>137</v>
      </c>
      <c r="G160" s="6" t="s">
        <v>486</v>
      </c>
      <c r="H160" s="4">
        <f t="shared" si="18"/>
        <v>160</v>
      </c>
      <c r="I160" s="4">
        <f t="shared" si="19"/>
        <v>158</v>
      </c>
      <c r="J160" s="4" t="s">
        <v>305</v>
      </c>
      <c r="K160" s="4">
        <v>3661</v>
      </c>
      <c r="L160" s="4">
        <v>0</v>
      </c>
    </row>
    <row r="161" spans="1:12" ht="75" x14ac:dyDescent="0.25">
      <c r="A161" s="2">
        <f>IF(BD_Versos[[#This Row],[Tema_Principal]]="","",ROW(BD_Versos[[#This Row],[Tema_Principal]])-1)</f>
        <v>160</v>
      </c>
      <c r="B161" s="3" t="s">
        <v>291</v>
      </c>
      <c r="C161" s="2" t="s">
        <v>293</v>
      </c>
      <c r="D161" s="4" t="s">
        <v>58</v>
      </c>
      <c r="E161" s="4">
        <v>28</v>
      </c>
      <c r="F161" s="5" t="s">
        <v>299</v>
      </c>
      <c r="G161" s="6" t="s">
        <v>487</v>
      </c>
      <c r="H161" s="4">
        <f t="shared" si="18"/>
        <v>161</v>
      </c>
      <c r="I161" s="4">
        <f t="shared" si="19"/>
        <v>159</v>
      </c>
      <c r="J161" s="4" t="s">
        <v>305</v>
      </c>
      <c r="K161" s="4">
        <v>3661</v>
      </c>
      <c r="L161" s="4">
        <v>0</v>
      </c>
    </row>
    <row r="162" spans="1:12" ht="45" x14ac:dyDescent="0.25">
      <c r="A162" s="2">
        <f>IF(BD_Versos[[#This Row],[Tema_Principal]]="","",ROW(BD_Versos[[#This Row],[Tema_Principal]])-1)</f>
        <v>161</v>
      </c>
      <c r="B162" s="3" t="s">
        <v>291</v>
      </c>
      <c r="C162" s="2" t="s">
        <v>293</v>
      </c>
      <c r="D162" s="4" t="s">
        <v>58</v>
      </c>
      <c r="E162" s="4">
        <v>30</v>
      </c>
      <c r="F162" s="5" t="s">
        <v>300</v>
      </c>
      <c r="G162" s="6" t="s">
        <v>488</v>
      </c>
      <c r="H162" s="4">
        <f t="shared" si="18"/>
        <v>162</v>
      </c>
      <c r="I162" s="4">
        <f t="shared" si="19"/>
        <v>160</v>
      </c>
      <c r="J162" s="4" t="s">
        <v>305</v>
      </c>
      <c r="K162" s="4">
        <v>3661</v>
      </c>
      <c r="L162" s="4">
        <v>0</v>
      </c>
    </row>
    <row r="163" spans="1:12" ht="60" x14ac:dyDescent="0.25">
      <c r="A163" s="2">
        <f>IF(BD_Versos[[#This Row],[Tema_Principal]]="","",ROW(BD_Versos[[#This Row],[Tema_Principal]])-1)</f>
        <v>162</v>
      </c>
      <c r="B163" s="3" t="s">
        <v>291</v>
      </c>
      <c r="C163" s="2" t="s">
        <v>293</v>
      </c>
      <c r="D163" s="4" t="s">
        <v>60</v>
      </c>
      <c r="E163" s="4">
        <v>2</v>
      </c>
      <c r="F163" s="5" t="s">
        <v>117</v>
      </c>
      <c r="G163" s="6" t="s">
        <v>489</v>
      </c>
      <c r="H163" s="4">
        <f t="shared" si="18"/>
        <v>163</v>
      </c>
      <c r="I163" s="4">
        <f t="shared" si="19"/>
        <v>161</v>
      </c>
      <c r="J163" s="4" t="s">
        <v>305</v>
      </c>
      <c r="K163" s="4">
        <v>3661</v>
      </c>
      <c r="L163" s="4">
        <v>0</v>
      </c>
    </row>
    <row r="164" spans="1:12" ht="60" x14ac:dyDescent="0.25">
      <c r="A164" s="2">
        <f>IF(BD_Versos[[#This Row],[Tema_Principal]]="","",ROW(BD_Versos[[#This Row],[Tema_Principal]])-1)</f>
        <v>163</v>
      </c>
      <c r="B164" s="3" t="s">
        <v>291</v>
      </c>
      <c r="C164" s="2" t="s">
        <v>293</v>
      </c>
      <c r="D164" s="4" t="s">
        <v>65</v>
      </c>
      <c r="E164" s="4">
        <v>18</v>
      </c>
      <c r="F164" s="5" t="s">
        <v>110</v>
      </c>
      <c r="G164" s="6" t="s">
        <v>490</v>
      </c>
      <c r="H164" s="4">
        <f t="shared" si="18"/>
        <v>164</v>
      </c>
      <c r="I164" s="4">
        <f t="shared" si="19"/>
        <v>162</v>
      </c>
      <c r="J164" s="4" t="s">
        <v>305</v>
      </c>
      <c r="K164" s="4">
        <v>3661</v>
      </c>
      <c r="L164" s="4">
        <v>0</v>
      </c>
    </row>
    <row r="165" spans="1:12" ht="60" x14ac:dyDescent="0.25">
      <c r="A165" s="2">
        <f>IF(BD_Versos[[#This Row],[Tema_Principal]]="","",ROW(BD_Versos[[#This Row],[Tema_Principal]])-1)</f>
        <v>164</v>
      </c>
      <c r="B165" s="3" t="s">
        <v>291</v>
      </c>
      <c r="C165" s="2" t="s">
        <v>293</v>
      </c>
      <c r="D165" s="4" t="s">
        <v>65</v>
      </c>
      <c r="E165" s="4">
        <v>21</v>
      </c>
      <c r="F165" s="5" t="s">
        <v>41</v>
      </c>
      <c r="G165" s="6" t="s">
        <v>491</v>
      </c>
      <c r="H165" s="4">
        <f t="shared" si="18"/>
        <v>165</v>
      </c>
      <c r="I165" s="4">
        <f t="shared" si="19"/>
        <v>163</v>
      </c>
      <c r="J165" s="4" t="s">
        <v>305</v>
      </c>
      <c r="K165" s="4">
        <v>3661</v>
      </c>
      <c r="L165" s="4">
        <v>0</v>
      </c>
    </row>
    <row r="166" spans="1:12" ht="30" x14ac:dyDescent="0.25">
      <c r="A166" s="2">
        <f>IF(BD_Versos[[#This Row],[Tema_Principal]]="","",ROW(BD_Versos[[#This Row],[Tema_Principal]])-1)</f>
        <v>165</v>
      </c>
      <c r="B166" s="3" t="s">
        <v>291</v>
      </c>
      <c r="C166" s="2" t="s">
        <v>293</v>
      </c>
      <c r="D166" s="4" t="s">
        <v>301</v>
      </c>
      <c r="E166" s="4">
        <v>33</v>
      </c>
      <c r="F166" s="5" t="s">
        <v>119</v>
      </c>
      <c r="G166" s="6" t="s">
        <v>492</v>
      </c>
      <c r="H166" s="4">
        <f t="shared" si="18"/>
        <v>166</v>
      </c>
      <c r="I166" s="4">
        <f t="shared" si="19"/>
        <v>164</v>
      </c>
      <c r="J166" s="4" t="s">
        <v>305</v>
      </c>
      <c r="K166" s="4">
        <v>3661</v>
      </c>
      <c r="L166" s="4">
        <v>0</v>
      </c>
    </row>
    <row r="167" spans="1:12" ht="45" x14ac:dyDescent="0.25">
      <c r="A167" s="2">
        <f>IF(BD_Versos[[#This Row],[Tema_Principal]]="","",ROW(BD_Versos[[#This Row],[Tema_Principal]])-1)</f>
        <v>166</v>
      </c>
      <c r="B167" s="3" t="s">
        <v>291</v>
      </c>
      <c r="C167" s="2" t="s">
        <v>293</v>
      </c>
      <c r="D167" s="4" t="s">
        <v>302</v>
      </c>
      <c r="E167" s="4">
        <v>9</v>
      </c>
      <c r="F167" s="5" t="s">
        <v>124</v>
      </c>
      <c r="G167" s="6" t="s">
        <v>493</v>
      </c>
      <c r="H167" s="4">
        <f t="shared" si="18"/>
        <v>167</v>
      </c>
      <c r="I167" s="4">
        <f t="shared" si="19"/>
        <v>165</v>
      </c>
      <c r="J167" s="4" t="s">
        <v>305</v>
      </c>
      <c r="K167" s="4">
        <v>3661</v>
      </c>
      <c r="L167" s="4">
        <v>0</v>
      </c>
    </row>
    <row r="168" spans="1:12" ht="30" x14ac:dyDescent="0.25">
      <c r="A168" s="2">
        <f>IF(BD_Versos[[#This Row],[Tema_Principal]]="","",ROW(BD_Versos[[#This Row],[Tema_Principal]])-1)</f>
        <v>167</v>
      </c>
      <c r="B168" s="3" t="s">
        <v>291</v>
      </c>
      <c r="C168" s="2" t="s">
        <v>293</v>
      </c>
      <c r="D168" s="4" t="s">
        <v>71</v>
      </c>
      <c r="E168" s="4">
        <v>58</v>
      </c>
      <c r="F168" s="5" t="s">
        <v>122</v>
      </c>
      <c r="G168" s="6" t="s">
        <v>494</v>
      </c>
      <c r="H168" s="4">
        <f t="shared" si="18"/>
        <v>168</v>
      </c>
      <c r="I168" s="4">
        <f t="shared" si="19"/>
        <v>166</v>
      </c>
      <c r="J168" s="4" t="s">
        <v>305</v>
      </c>
      <c r="K168" s="4">
        <v>3661</v>
      </c>
      <c r="L168" s="4">
        <v>0</v>
      </c>
    </row>
    <row r="169" spans="1:12" ht="30" x14ac:dyDescent="0.25">
      <c r="A169" s="2">
        <f>IF(BD_Versos[[#This Row],[Tema_Principal]]="","",ROW(BD_Versos[[#This Row],[Tema_Principal]])-1)</f>
        <v>168</v>
      </c>
      <c r="B169" s="3" t="s">
        <v>291</v>
      </c>
      <c r="C169" s="2" t="s">
        <v>293</v>
      </c>
      <c r="D169" s="4" t="s">
        <v>72</v>
      </c>
      <c r="E169" s="4">
        <v>5</v>
      </c>
      <c r="F169" s="5" t="s">
        <v>113</v>
      </c>
      <c r="G169" s="6" t="s">
        <v>495</v>
      </c>
      <c r="H169" s="4">
        <f t="shared" si="18"/>
        <v>169</v>
      </c>
      <c r="I169" s="4">
        <f t="shared" si="19"/>
        <v>167</v>
      </c>
      <c r="J169" s="4" t="s">
        <v>305</v>
      </c>
      <c r="K169" s="4">
        <v>3661</v>
      </c>
      <c r="L169" s="4">
        <v>0</v>
      </c>
    </row>
    <row r="170" spans="1:12" ht="45" x14ac:dyDescent="0.25">
      <c r="A170" s="2">
        <f>IF(BD_Versos[[#This Row],[Tema_Principal]]="","",ROW(BD_Versos[[#This Row],[Tema_Principal]])-1)</f>
        <v>169</v>
      </c>
      <c r="B170" s="3" t="s">
        <v>291</v>
      </c>
      <c r="C170" s="2" t="s">
        <v>293</v>
      </c>
      <c r="D170" s="4" t="s">
        <v>72</v>
      </c>
      <c r="E170" s="4">
        <v>13</v>
      </c>
      <c r="F170" s="5" t="s">
        <v>28</v>
      </c>
      <c r="G170" s="6" t="s">
        <v>496</v>
      </c>
      <c r="H170" s="4">
        <f t="shared" si="18"/>
        <v>170</v>
      </c>
      <c r="I170" s="4">
        <f t="shared" si="19"/>
        <v>168</v>
      </c>
      <c r="J170" s="4" t="s">
        <v>305</v>
      </c>
      <c r="K170" s="4">
        <v>3661</v>
      </c>
      <c r="L170" s="4">
        <v>0</v>
      </c>
    </row>
    <row r="171" spans="1:12" ht="75" x14ac:dyDescent="0.25">
      <c r="A171" s="2">
        <f>IF(BD_Versos[[#This Row],[Tema_Principal]]="","",ROW(BD_Versos[[#This Row],[Tema_Principal]])-1)</f>
        <v>170</v>
      </c>
      <c r="B171" s="3" t="s">
        <v>291</v>
      </c>
      <c r="C171" s="2" t="s">
        <v>293</v>
      </c>
      <c r="D171" s="4" t="s">
        <v>290</v>
      </c>
      <c r="E171" s="4">
        <v>6</v>
      </c>
      <c r="F171" s="5" t="s">
        <v>119</v>
      </c>
      <c r="G171" s="6" t="s">
        <v>497</v>
      </c>
      <c r="H171" s="4">
        <f t="shared" si="18"/>
        <v>171</v>
      </c>
      <c r="I171" s="4">
        <f t="shared" si="19"/>
        <v>169</v>
      </c>
      <c r="J171" s="4" t="s">
        <v>305</v>
      </c>
      <c r="K171" s="4">
        <v>3661</v>
      </c>
      <c r="L171" s="4">
        <v>0</v>
      </c>
    </row>
    <row r="172" spans="1:12" ht="45" x14ac:dyDescent="0.25">
      <c r="A172" s="2">
        <f>IF(BD_Versos[[#This Row],[Tema_Principal]]="","",ROW(BD_Versos[[#This Row],[Tema_Principal]])-1)</f>
        <v>171</v>
      </c>
      <c r="B172" s="3" t="s">
        <v>291</v>
      </c>
      <c r="C172" s="2" t="s">
        <v>293</v>
      </c>
      <c r="D172" s="4" t="s">
        <v>290</v>
      </c>
      <c r="E172" s="4">
        <v>28</v>
      </c>
      <c r="F172" s="5" t="s">
        <v>110</v>
      </c>
      <c r="G172" s="6" t="s">
        <v>498</v>
      </c>
      <c r="H172" s="4">
        <f t="shared" si="18"/>
        <v>172</v>
      </c>
      <c r="I172" s="4">
        <f t="shared" si="19"/>
        <v>170</v>
      </c>
      <c r="J172" s="4" t="s">
        <v>305</v>
      </c>
      <c r="K172" s="4">
        <v>3661</v>
      </c>
      <c r="L172" s="4">
        <v>0</v>
      </c>
    </row>
    <row r="173" spans="1:12" ht="30" x14ac:dyDescent="0.25">
      <c r="A173" s="2">
        <f>IF(BD_Versos[[#This Row],[Tema_Principal]]="","",ROW(BD_Versos[[#This Row],[Tema_Principal]])-1)</f>
        <v>172</v>
      </c>
      <c r="B173" s="3" t="s">
        <v>291</v>
      </c>
      <c r="C173" s="2" t="s">
        <v>293</v>
      </c>
      <c r="D173" s="4" t="s">
        <v>290</v>
      </c>
      <c r="E173" s="4">
        <v>35</v>
      </c>
      <c r="F173" s="5" t="s">
        <v>35</v>
      </c>
      <c r="G173" s="6" t="s">
        <v>499</v>
      </c>
      <c r="H173" s="4">
        <f t="shared" si="18"/>
        <v>173</v>
      </c>
      <c r="I173" s="4">
        <f t="shared" si="19"/>
        <v>171</v>
      </c>
      <c r="J173" s="4" t="s">
        <v>305</v>
      </c>
      <c r="K173" s="4">
        <v>3661</v>
      </c>
      <c r="L173" s="4">
        <v>0</v>
      </c>
    </row>
    <row r="174" spans="1:12" x14ac:dyDescent="0.25">
      <c r="A174" s="2">
        <f>IF(BD_Versos[[#This Row],[Tema_Principal]]="","",ROW(BD_Versos[[#This Row],[Tema_Principal]])-1)</f>
        <v>173</v>
      </c>
      <c r="B174" s="3" t="s">
        <v>291</v>
      </c>
      <c r="C174" s="2" t="s">
        <v>293</v>
      </c>
      <c r="D174" s="4" t="s">
        <v>290</v>
      </c>
      <c r="E174" s="4">
        <v>42</v>
      </c>
      <c r="F174" s="5" t="s">
        <v>108</v>
      </c>
      <c r="G174" s="6" t="s">
        <v>500</v>
      </c>
      <c r="H174" s="4">
        <f t="shared" si="18"/>
        <v>174</v>
      </c>
      <c r="I174" s="4">
        <f t="shared" si="19"/>
        <v>172</v>
      </c>
      <c r="J174" s="4" t="s">
        <v>305</v>
      </c>
      <c r="K174" s="4">
        <v>3661</v>
      </c>
      <c r="L174" s="4">
        <v>0</v>
      </c>
    </row>
    <row r="175" spans="1:12" ht="75" x14ac:dyDescent="0.25">
      <c r="A175" s="2">
        <f>IF(BD_Versos[[#This Row],[Tema_Principal]]="","",ROW(BD_Versos[[#This Row],[Tema_Principal]])-1)</f>
        <v>174</v>
      </c>
      <c r="B175" s="3" t="s">
        <v>291</v>
      </c>
      <c r="C175" s="2" t="s">
        <v>293</v>
      </c>
      <c r="D175" s="4" t="s">
        <v>290</v>
      </c>
      <c r="E175" s="4">
        <v>48</v>
      </c>
      <c r="F175" s="5" t="s">
        <v>118</v>
      </c>
      <c r="G175" s="6" t="s">
        <v>501</v>
      </c>
      <c r="H175" s="4">
        <f t="shared" si="18"/>
        <v>175</v>
      </c>
      <c r="I175" s="4">
        <f t="shared" si="19"/>
        <v>173</v>
      </c>
      <c r="J175" s="4" t="s">
        <v>305</v>
      </c>
      <c r="K175" s="4">
        <v>3661</v>
      </c>
      <c r="L175" s="4">
        <v>0</v>
      </c>
    </row>
    <row r="176" spans="1:12" ht="75" x14ac:dyDescent="0.25">
      <c r="A176" s="2">
        <f>IF(BD_Versos[[#This Row],[Tema_Principal]]="","",ROW(BD_Versos[[#This Row],[Tema_Principal]])-1)</f>
        <v>175</v>
      </c>
      <c r="B176" s="3" t="s">
        <v>291</v>
      </c>
      <c r="C176" s="2" t="s">
        <v>293</v>
      </c>
      <c r="D176" s="4" t="s">
        <v>290</v>
      </c>
      <c r="E176" s="4">
        <v>65</v>
      </c>
      <c r="F176" s="5" t="s">
        <v>110</v>
      </c>
      <c r="G176" s="6" t="s">
        <v>502</v>
      </c>
      <c r="H176" s="4">
        <f t="shared" si="18"/>
        <v>176</v>
      </c>
      <c r="I176" s="4">
        <f t="shared" si="19"/>
        <v>174</v>
      </c>
      <c r="J176" s="4" t="s">
        <v>305</v>
      </c>
      <c r="K176" s="4">
        <v>3661</v>
      </c>
      <c r="L176" s="4">
        <v>0</v>
      </c>
    </row>
    <row r="177" spans="1:12" ht="75" x14ac:dyDescent="0.25">
      <c r="A177" s="2">
        <f>IF(BD_Versos[[#This Row],[Tema_Principal]]="","",ROW(BD_Versos[[#This Row],[Tema_Principal]])-1)</f>
        <v>176</v>
      </c>
      <c r="B177" s="3" t="s">
        <v>291</v>
      </c>
      <c r="C177" s="2" t="s">
        <v>293</v>
      </c>
      <c r="D177" s="4" t="s">
        <v>290</v>
      </c>
      <c r="E177" s="4">
        <v>66</v>
      </c>
      <c r="F177" s="5" t="s">
        <v>122</v>
      </c>
      <c r="G177" s="6" t="s">
        <v>503</v>
      </c>
      <c r="H177" s="4">
        <f t="shared" si="18"/>
        <v>177</v>
      </c>
      <c r="I177" s="4">
        <f t="shared" si="19"/>
        <v>175</v>
      </c>
      <c r="J177" s="4" t="s">
        <v>305</v>
      </c>
      <c r="K177" s="4">
        <v>3661</v>
      </c>
      <c r="L177" s="4">
        <v>0</v>
      </c>
    </row>
    <row r="178" spans="1:12" ht="30" x14ac:dyDescent="0.25">
      <c r="A178" s="2">
        <f>IF(BD_Versos[[#This Row],[Tema_Principal]]="","",ROW(BD_Versos[[#This Row],[Tema_Principal]])-1)</f>
        <v>177</v>
      </c>
      <c r="B178" s="3" t="s">
        <v>291</v>
      </c>
      <c r="C178" s="2" t="s">
        <v>293</v>
      </c>
      <c r="D178" s="4" t="s">
        <v>303</v>
      </c>
      <c r="E178" s="4">
        <v>5</v>
      </c>
      <c r="F178" s="5" t="s">
        <v>123</v>
      </c>
      <c r="G178" s="6" t="s">
        <v>504</v>
      </c>
      <c r="H178" s="4">
        <f t="shared" si="18"/>
        <v>178</v>
      </c>
      <c r="I178" s="4">
        <f t="shared" si="19"/>
        <v>176</v>
      </c>
      <c r="J178" s="4" t="s">
        <v>305</v>
      </c>
      <c r="K178" s="4">
        <v>3661</v>
      </c>
      <c r="L178" s="4">
        <v>0</v>
      </c>
    </row>
    <row r="179" spans="1:12" ht="60" x14ac:dyDescent="0.25">
      <c r="A179" s="2">
        <f>IF(BD_Versos[[#This Row],[Tema_Principal]]="","",ROW(BD_Versos[[#This Row],[Tema_Principal]])-1)</f>
        <v>178</v>
      </c>
      <c r="B179" s="3" t="s">
        <v>291</v>
      </c>
      <c r="C179" s="2" t="s">
        <v>293</v>
      </c>
      <c r="D179" s="4" t="s">
        <v>303</v>
      </c>
      <c r="E179" s="4">
        <v>6</v>
      </c>
      <c r="F179" s="5" t="s">
        <v>119</v>
      </c>
      <c r="G179" s="6" t="s">
        <v>505</v>
      </c>
      <c r="H179" s="4">
        <f t="shared" si="18"/>
        <v>179</v>
      </c>
      <c r="I179" s="4">
        <f t="shared" si="19"/>
        <v>177</v>
      </c>
      <c r="J179" s="4" t="s">
        <v>305</v>
      </c>
      <c r="K179" s="4">
        <v>3661</v>
      </c>
      <c r="L179" s="4">
        <v>0</v>
      </c>
    </row>
    <row r="180" spans="1:12" ht="60" x14ac:dyDescent="0.25">
      <c r="A180" s="2">
        <f>IF(BD_Versos[[#This Row],[Tema_Principal]]="","",ROW(BD_Versos[[#This Row],[Tema_Principal]])-1)</f>
        <v>179</v>
      </c>
      <c r="B180" s="3" t="s">
        <v>291</v>
      </c>
      <c r="C180" s="2" t="s">
        <v>293</v>
      </c>
      <c r="D180" s="4" t="s">
        <v>303</v>
      </c>
      <c r="E180" s="4">
        <v>6</v>
      </c>
      <c r="F180" s="5" t="s">
        <v>137</v>
      </c>
      <c r="G180" s="6" t="s">
        <v>506</v>
      </c>
      <c r="H180" s="4">
        <f t="shared" si="18"/>
        <v>180</v>
      </c>
      <c r="I180" s="4">
        <f t="shared" si="19"/>
        <v>178</v>
      </c>
      <c r="J180" s="4" t="s">
        <v>305</v>
      </c>
      <c r="K180" s="4">
        <v>3661</v>
      </c>
      <c r="L180" s="4">
        <v>0</v>
      </c>
    </row>
    <row r="181" spans="1:12" ht="60" x14ac:dyDescent="0.25">
      <c r="A181" s="2">
        <f>IF(BD_Versos[[#This Row],[Tema_Principal]]="","",ROW(BD_Versos[[#This Row],[Tema_Principal]])-1)</f>
        <v>180</v>
      </c>
      <c r="B181" s="3" t="s">
        <v>291</v>
      </c>
      <c r="C181" s="2" t="s">
        <v>293</v>
      </c>
      <c r="D181" s="4" t="s">
        <v>303</v>
      </c>
      <c r="E181" s="4">
        <v>7</v>
      </c>
      <c r="F181" s="5" t="s">
        <v>113</v>
      </c>
      <c r="G181" s="6" t="s">
        <v>507</v>
      </c>
      <c r="H181" s="4">
        <f t="shared" si="18"/>
        <v>181</v>
      </c>
      <c r="I181" s="4">
        <f t="shared" si="19"/>
        <v>179</v>
      </c>
      <c r="J181" s="4" t="s">
        <v>305</v>
      </c>
      <c r="K181" s="4">
        <v>3661</v>
      </c>
      <c r="L181" s="4">
        <v>0</v>
      </c>
    </row>
    <row r="182" spans="1:12" ht="90" x14ac:dyDescent="0.25">
      <c r="A182" s="2">
        <f>IF(BD_Versos[[#This Row],[Tema_Principal]]="","",ROW(BD_Versos[[#This Row],[Tema_Principal]])-1)</f>
        <v>181</v>
      </c>
      <c r="B182" s="3" t="s">
        <v>291</v>
      </c>
      <c r="C182" s="2" t="s">
        <v>293</v>
      </c>
      <c r="D182" s="4" t="s">
        <v>303</v>
      </c>
      <c r="E182" s="4">
        <v>13</v>
      </c>
      <c r="F182" s="5" t="s">
        <v>37</v>
      </c>
      <c r="G182" s="6" t="s">
        <v>508</v>
      </c>
      <c r="H182" s="4">
        <f t="shared" si="18"/>
        <v>182</v>
      </c>
      <c r="I182" s="4">
        <f t="shared" si="19"/>
        <v>180</v>
      </c>
      <c r="J182" s="4" t="s">
        <v>305</v>
      </c>
      <c r="K182" s="4">
        <v>3661</v>
      </c>
      <c r="L182" s="4">
        <v>0</v>
      </c>
    </row>
    <row r="183" spans="1:12" ht="45" x14ac:dyDescent="0.25">
      <c r="A183" s="2">
        <f>IF(BD_Versos[[#This Row],[Tema_Principal]]="","",ROW(BD_Versos[[#This Row],[Tema_Principal]])-1)</f>
        <v>182</v>
      </c>
      <c r="B183" s="3" t="s">
        <v>291</v>
      </c>
      <c r="C183" s="2" t="s">
        <v>293</v>
      </c>
      <c r="D183" s="4" t="s">
        <v>303</v>
      </c>
      <c r="E183" s="4">
        <v>17</v>
      </c>
      <c r="F183" s="5" t="s">
        <v>298</v>
      </c>
      <c r="G183" s="6" t="s">
        <v>509</v>
      </c>
      <c r="H183" s="4">
        <f t="shared" si="18"/>
        <v>183</v>
      </c>
      <c r="I183" s="4">
        <f t="shared" si="19"/>
        <v>181</v>
      </c>
      <c r="J183" s="4" t="s">
        <v>305</v>
      </c>
      <c r="K183" s="4">
        <v>3661</v>
      </c>
      <c r="L183" s="4">
        <v>0</v>
      </c>
    </row>
    <row r="184" spans="1:12" ht="90" x14ac:dyDescent="0.25">
      <c r="A184" s="2">
        <f>IF(BD_Versos[[#This Row],[Tema_Principal]]="","",ROW(BD_Versos[[#This Row],[Tema_Principal]])-1)</f>
        <v>183</v>
      </c>
      <c r="B184" s="3" t="s">
        <v>291</v>
      </c>
      <c r="C184" s="2" t="s">
        <v>293</v>
      </c>
      <c r="D184" s="4" t="s">
        <v>303</v>
      </c>
      <c r="E184" s="4">
        <v>17</v>
      </c>
      <c r="F184" s="5" t="s">
        <v>112</v>
      </c>
      <c r="G184" s="6" t="s">
        <v>510</v>
      </c>
      <c r="H184" s="4">
        <f t="shared" si="18"/>
        <v>184</v>
      </c>
      <c r="I184" s="4">
        <f t="shared" si="19"/>
        <v>182</v>
      </c>
      <c r="J184" s="4" t="s">
        <v>305</v>
      </c>
      <c r="K184" s="4">
        <v>3661</v>
      </c>
      <c r="L184" s="4">
        <v>0</v>
      </c>
    </row>
    <row r="185" spans="1:12" ht="45" x14ac:dyDescent="0.25">
      <c r="A185" s="2">
        <f>IF(BD_Versos[[#This Row],[Tema_Principal]]="","",ROW(BD_Versos[[#This Row],[Tema_Principal]])-1)</f>
        <v>184</v>
      </c>
      <c r="B185" s="3" t="s">
        <v>291</v>
      </c>
      <c r="C185" s="2" t="s">
        <v>293</v>
      </c>
      <c r="D185" s="4" t="s">
        <v>303</v>
      </c>
      <c r="E185" s="4">
        <v>22</v>
      </c>
      <c r="F185" s="5" t="s">
        <v>123</v>
      </c>
      <c r="G185" s="6" t="s">
        <v>511</v>
      </c>
      <c r="H185" s="4">
        <f t="shared" si="18"/>
        <v>185</v>
      </c>
      <c r="I185" s="4">
        <f t="shared" si="19"/>
        <v>183</v>
      </c>
      <c r="J185" s="4" t="s">
        <v>305</v>
      </c>
      <c r="K185" s="4">
        <v>3661</v>
      </c>
      <c r="L185" s="4">
        <v>0</v>
      </c>
    </row>
    <row r="186" spans="1:12" ht="75" x14ac:dyDescent="0.25">
      <c r="A186" s="2">
        <f>IF(BD_Versos[[#This Row],[Tema_Principal]]="","",ROW(BD_Versos[[#This Row],[Tema_Principal]])-1)</f>
        <v>185</v>
      </c>
      <c r="B186" s="3" t="s">
        <v>291</v>
      </c>
      <c r="C186" s="2" t="s">
        <v>293</v>
      </c>
      <c r="D186" s="4" t="s">
        <v>303</v>
      </c>
      <c r="E186" s="4">
        <v>25</v>
      </c>
      <c r="F186" s="5" t="s">
        <v>38</v>
      </c>
      <c r="G186" s="6" t="s">
        <v>512</v>
      </c>
      <c r="H186" s="4">
        <f t="shared" si="18"/>
        <v>186</v>
      </c>
      <c r="I186" s="4">
        <f t="shared" si="19"/>
        <v>184</v>
      </c>
      <c r="J186" s="4" t="s">
        <v>305</v>
      </c>
      <c r="K186" s="4">
        <v>3661</v>
      </c>
      <c r="L186" s="4">
        <v>0</v>
      </c>
    </row>
    <row r="187" spans="1:12" ht="45" x14ac:dyDescent="0.25">
      <c r="A187" s="2">
        <f>IF(BD_Versos[[#This Row],[Tema_Principal]]="","",ROW(BD_Versos[[#This Row],[Tema_Principal]])-1)</f>
        <v>186</v>
      </c>
      <c r="B187" s="3" t="s">
        <v>291</v>
      </c>
      <c r="C187" s="2" t="s">
        <v>293</v>
      </c>
      <c r="D187" s="4" t="s">
        <v>303</v>
      </c>
      <c r="E187" s="4">
        <v>26</v>
      </c>
      <c r="F187" s="5" t="s">
        <v>35</v>
      </c>
      <c r="G187" s="6" t="s">
        <v>513</v>
      </c>
      <c r="H187" s="4">
        <f t="shared" si="18"/>
        <v>187</v>
      </c>
      <c r="I187" s="4">
        <f t="shared" si="19"/>
        <v>185</v>
      </c>
      <c r="J187" s="4" t="s">
        <v>305</v>
      </c>
      <c r="K187" s="4">
        <v>3661</v>
      </c>
      <c r="L187" s="4">
        <v>0</v>
      </c>
    </row>
    <row r="188" spans="1:12" ht="60" x14ac:dyDescent="0.25">
      <c r="A188" s="2">
        <f>IF(BD_Versos[[#This Row],[Tema_Principal]]="","",ROW(BD_Versos[[#This Row],[Tema_Principal]])-1)</f>
        <v>187</v>
      </c>
      <c r="B188" s="3" t="s">
        <v>291</v>
      </c>
      <c r="C188" s="2" t="s">
        <v>293</v>
      </c>
      <c r="D188" s="4" t="s">
        <v>303</v>
      </c>
      <c r="E188" s="4">
        <v>29</v>
      </c>
      <c r="F188" s="5" t="s">
        <v>137</v>
      </c>
      <c r="G188" s="6" t="s">
        <v>514</v>
      </c>
      <c r="H188" s="4">
        <f t="shared" si="18"/>
        <v>188</v>
      </c>
      <c r="I188" s="4">
        <f t="shared" si="19"/>
        <v>186</v>
      </c>
      <c r="J188" s="4" t="s">
        <v>305</v>
      </c>
      <c r="K188" s="4">
        <v>3661</v>
      </c>
      <c r="L188" s="4">
        <v>0</v>
      </c>
    </row>
    <row r="189" spans="1:12" ht="90" x14ac:dyDescent="0.25">
      <c r="A189" s="2">
        <f>IF(BD_Versos[[#This Row],[Tema_Principal]]="","",ROW(BD_Versos[[#This Row],[Tema_Principal]])-1)</f>
        <v>188</v>
      </c>
      <c r="B189" s="3" t="s">
        <v>291</v>
      </c>
      <c r="C189" s="2" t="s">
        <v>293</v>
      </c>
      <c r="D189" s="4" t="s">
        <v>303</v>
      </c>
      <c r="E189" s="4">
        <v>35</v>
      </c>
      <c r="F189" s="5" t="s">
        <v>47</v>
      </c>
      <c r="G189" s="6" t="s">
        <v>515</v>
      </c>
      <c r="H189" s="4">
        <f t="shared" si="18"/>
        <v>189</v>
      </c>
      <c r="I189" s="4">
        <f t="shared" si="19"/>
        <v>187</v>
      </c>
      <c r="J189" s="4" t="s">
        <v>305</v>
      </c>
      <c r="K189" s="4">
        <v>3661</v>
      </c>
      <c r="L189" s="4">
        <v>0</v>
      </c>
    </row>
    <row r="190" spans="1:12" ht="60" x14ac:dyDescent="0.25">
      <c r="A190" s="2">
        <f>IF(BD_Versos[[#This Row],[Tema_Principal]]="","",ROW(BD_Versos[[#This Row],[Tema_Principal]])-1)</f>
        <v>189</v>
      </c>
      <c r="B190" s="3" t="s">
        <v>291</v>
      </c>
      <c r="C190" s="2" t="s">
        <v>293</v>
      </c>
      <c r="D190" s="4" t="s">
        <v>303</v>
      </c>
      <c r="E190" s="4">
        <v>35</v>
      </c>
      <c r="F190" s="5" t="s">
        <v>124</v>
      </c>
      <c r="G190" s="6" t="s">
        <v>516</v>
      </c>
      <c r="H190" s="4">
        <f t="shared" si="18"/>
        <v>190</v>
      </c>
      <c r="I190" s="4">
        <f t="shared" si="19"/>
        <v>188</v>
      </c>
      <c r="J190" s="4" t="s">
        <v>305</v>
      </c>
      <c r="K190" s="4">
        <v>3661</v>
      </c>
      <c r="L190" s="4">
        <v>0</v>
      </c>
    </row>
    <row r="191" spans="1:12" ht="75" x14ac:dyDescent="0.25">
      <c r="A191" s="2">
        <f>IF(BD_Versos[[#This Row],[Tema_Principal]]="","",ROW(BD_Versos[[#This Row],[Tema_Principal]])-1)</f>
        <v>190</v>
      </c>
      <c r="B191" s="3" t="s">
        <v>291</v>
      </c>
      <c r="C191" s="2" t="s">
        <v>293</v>
      </c>
      <c r="D191" s="4" t="s">
        <v>303</v>
      </c>
      <c r="E191" s="4">
        <v>36</v>
      </c>
      <c r="F191" s="5" t="s">
        <v>142</v>
      </c>
      <c r="G191" s="6" t="s">
        <v>517</v>
      </c>
      <c r="H191" s="4">
        <f t="shared" si="18"/>
        <v>191</v>
      </c>
      <c r="I191" s="4">
        <f t="shared" si="19"/>
        <v>189</v>
      </c>
      <c r="J191" s="4" t="s">
        <v>305</v>
      </c>
      <c r="K191" s="4">
        <v>3661</v>
      </c>
      <c r="L191" s="4">
        <v>0</v>
      </c>
    </row>
    <row r="192" spans="1:12" ht="45" x14ac:dyDescent="0.25">
      <c r="A192" s="2">
        <f>IF(BD_Versos[[#This Row],[Tema_Principal]]="","",ROW(BD_Versos[[#This Row],[Tema_Principal]])-1)</f>
        <v>191</v>
      </c>
      <c r="B192" s="3" t="s">
        <v>291</v>
      </c>
      <c r="C192" s="2" t="s">
        <v>293</v>
      </c>
      <c r="D192" s="4" t="s">
        <v>303</v>
      </c>
      <c r="E192" s="4">
        <v>44</v>
      </c>
      <c r="F192" s="5" t="s">
        <v>35</v>
      </c>
      <c r="G192" s="6" t="s">
        <v>518</v>
      </c>
      <c r="H192" s="4">
        <f t="shared" si="18"/>
        <v>192</v>
      </c>
      <c r="I192" s="4">
        <f t="shared" si="19"/>
        <v>190</v>
      </c>
      <c r="J192" s="4" t="s">
        <v>305</v>
      </c>
      <c r="K192" s="4">
        <v>3661</v>
      </c>
      <c r="L192" s="4">
        <v>0</v>
      </c>
    </row>
    <row r="193" spans="1:12" ht="60" x14ac:dyDescent="0.25">
      <c r="A193" s="2">
        <f>IF(BD_Versos[[#This Row],[Tema_Principal]]="","",ROW(BD_Versos[[#This Row],[Tema_Principal]])-1)</f>
        <v>192</v>
      </c>
      <c r="B193" s="3" t="s">
        <v>291</v>
      </c>
      <c r="C193" s="2" t="s">
        <v>293</v>
      </c>
      <c r="D193" s="4" t="s">
        <v>78</v>
      </c>
      <c r="E193" s="4">
        <v>3</v>
      </c>
      <c r="F193" s="5" t="s">
        <v>43</v>
      </c>
      <c r="G193" s="6" t="s">
        <v>519</v>
      </c>
      <c r="H193" s="4">
        <f t="shared" si="18"/>
        <v>193</v>
      </c>
      <c r="I193" s="4">
        <f t="shared" si="19"/>
        <v>191</v>
      </c>
      <c r="J193" s="4" t="s">
        <v>305</v>
      </c>
      <c r="K193" s="4">
        <v>3661</v>
      </c>
      <c r="L193" s="4">
        <v>0</v>
      </c>
    </row>
    <row r="194" spans="1:12" ht="60" x14ac:dyDescent="0.25">
      <c r="A194" s="2">
        <f>IF(BD_Versos[[#This Row],[Tema_Principal]]="","",ROW(BD_Versos[[#This Row],[Tema_Principal]])-1)</f>
        <v>193</v>
      </c>
      <c r="B194" s="3" t="s">
        <v>291</v>
      </c>
      <c r="C194" s="2" t="s">
        <v>293</v>
      </c>
      <c r="D194" s="4" t="s">
        <v>78</v>
      </c>
      <c r="E194" s="4">
        <v>12</v>
      </c>
      <c r="F194" s="5" t="s">
        <v>49</v>
      </c>
      <c r="G194" s="6" t="s">
        <v>520</v>
      </c>
      <c r="H194" s="4">
        <f t="shared" si="18"/>
        <v>194</v>
      </c>
      <c r="I194" s="4">
        <f t="shared" si="19"/>
        <v>192</v>
      </c>
      <c r="J194" s="4" t="s">
        <v>305</v>
      </c>
      <c r="K194" s="4">
        <v>3661</v>
      </c>
      <c r="L194" s="4">
        <v>0</v>
      </c>
    </row>
    <row r="195" spans="1:12" ht="90" x14ac:dyDescent="0.25">
      <c r="A195" s="2">
        <f>IF(BD_Versos[[#This Row],[Tema_Principal]]="","",ROW(BD_Versos[[#This Row],[Tema_Principal]])-1)</f>
        <v>194</v>
      </c>
      <c r="B195" s="3" t="s">
        <v>291</v>
      </c>
      <c r="C195" s="2" t="s">
        <v>293</v>
      </c>
      <c r="D195" s="4" t="s">
        <v>78</v>
      </c>
      <c r="E195" s="4">
        <v>20</v>
      </c>
      <c r="F195" s="5" t="s">
        <v>118</v>
      </c>
      <c r="G195" s="6" t="s">
        <v>521</v>
      </c>
      <c r="H195" s="4">
        <f t="shared" si="18"/>
        <v>195</v>
      </c>
      <c r="I195" s="4">
        <f t="shared" si="19"/>
        <v>193</v>
      </c>
      <c r="J195" s="4" t="s">
        <v>305</v>
      </c>
      <c r="K195" s="4">
        <v>3661</v>
      </c>
      <c r="L195" s="4">
        <v>0</v>
      </c>
    </row>
    <row r="196" spans="1:12" ht="45" x14ac:dyDescent="0.25">
      <c r="A196" s="2">
        <f>IF(BD_Versos[[#This Row],[Tema_Principal]]="","",ROW(BD_Versos[[#This Row],[Tema_Principal]])-1)</f>
        <v>195</v>
      </c>
      <c r="B196" s="3" t="s">
        <v>291</v>
      </c>
      <c r="C196" s="2" t="s">
        <v>293</v>
      </c>
      <c r="D196" s="4" t="s">
        <v>58</v>
      </c>
      <c r="E196" s="4">
        <v>9</v>
      </c>
      <c r="F196" s="5" t="s">
        <v>34</v>
      </c>
      <c r="G196" s="6" t="s">
        <v>522</v>
      </c>
      <c r="H196" s="4">
        <f t="shared" si="18"/>
        <v>196</v>
      </c>
      <c r="I196" s="4">
        <f t="shared" si="19"/>
        <v>194</v>
      </c>
      <c r="J196" s="4" t="s">
        <v>305</v>
      </c>
      <c r="K196" s="4">
        <v>3661</v>
      </c>
      <c r="L196" s="4">
        <v>0</v>
      </c>
    </row>
    <row r="197" spans="1:12" ht="90" x14ac:dyDescent="0.25">
      <c r="A197" s="2">
        <f>IF(BD_Versos[[#This Row],[Tema_Principal]]="","",ROW(BD_Versos[[#This Row],[Tema_Principal]])-1)</f>
        <v>196</v>
      </c>
      <c r="B197" s="3" t="s">
        <v>291</v>
      </c>
      <c r="C197" s="2" t="s">
        <v>293</v>
      </c>
      <c r="D197" s="4" t="s">
        <v>135</v>
      </c>
      <c r="E197" s="4">
        <v>1</v>
      </c>
      <c r="F197" s="5" t="s">
        <v>122</v>
      </c>
      <c r="G197" s="6" t="s">
        <v>523</v>
      </c>
      <c r="H197" s="4">
        <f t="shared" si="18"/>
        <v>197</v>
      </c>
      <c r="I197" s="4">
        <f t="shared" si="19"/>
        <v>195</v>
      </c>
      <c r="J197" s="4" t="s">
        <v>305</v>
      </c>
      <c r="K197" s="4">
        <v>3661</v>
      </c>
      <c r="L197" s="4">
        <v>0</v>
      </c>
    </row>
    <row r="198" spans="1:12" ht="45" x14ac:dyDescent="0.25">
      <c r="A198" s="2">
        <f>IF(BD_Versos[[#This Row],[Tema_Principal]]="","",ROW(BD_Versos[[#This Row],[Tema_Principal]])-1)</f>
        <v>197</v>
      </c>
      <c r="B198" s="3" t="s">
        <v>291</v>
      </c>
      <c r="C198" s="2" t="s">
        <v>293</v>
      </c>
      <c r="D198" s="4" t="s">
        <v>135</v>
      </c>
      <c r="E198" s="4">
        <v>7</v>
      </c>
      <c r="F198" s="5" t="s">
        <v>37</v>
      </c>
      <c r="G198" s="6" t="s">
        <v>524</v>
      </c>
      <c r="H198" s="4">
        <f t="shared" si="18"/>
        <v>198</v>
      </c>
      <c r="I198" s="4">
        <f t="shared" si="19"/>
        <v>196</v>
      </c>
      <c r="J198" s="4" t="s">
        <v>305</v>
      </c>
      <c r="K198" s="4">
        <v>3661</v>
      </c>
      <c r="L198" s="4">
        <v>0</v>
      </c>
    </row>
    <row r="199" spans="1:12" ht="90" x14ac:dyDescent="0.25">
      <c r="A199" s="2">
        <f>IF(BD_Versos[[#This Row],[Tema_Principal]]="","",ROW(BD_Versos[[#This Row],[Tema_Principal]])-1)</f>
        <v>198</v>
      </c>
      <c r="B199" s="3" t="s">
        <v>291</v>
      </c>
      <c r="C199" s="2" t="s">
        <v>293</v>
      </c>
      <c r="D199" s="4" t="s">
        <v>306</v>
      </c>
      <c r="E199" s="4">
        <v>2</v>
      </c>
      <c r="F199" s="5" t="s">
        <v>49</v>
      </c>
      <c r="G199" s="6" t="s">
        <v>525</v>
      </c>
      <c r="H199" s="4">
        <f t="shared" si="18"/>
        <v>199</v>
      </c>
      <c r="I199" s="4">
        <f t="shared" si="19"/>
        <v>197</v>
      </c>
      <c r="J199" s="4" t="s">
        <v>305</v>
      </c>
      <c r="K199" s="4">
        <v>3661</v>
      </c>
      <c r="L199" s="4">
        <v>0</v>
      </c>
    </row>
    <row r="200" spans="1:12" ht="30" x14ac:dyDescent="0.25">
      <c r="A200" s="2">
        <f>IF(BD_Versos[[#This Row],[Tema_Principal]]="","",ROW(BD_Versos[[#This Row],[Tema_Principal]])-1)</f>
        <v>199</v>
      </c>
      <c r="B200" s="3" t="s">
        <v>291</v>
      </c>
      <c r="C200" s="2" t="s">
        <v>293</v>
      </c>
      <c r="D200" s="4" t="s">
        <v>50</v>
      </c>
      <c r="E200" s="4">
        <v>13</v>
      </c>
      <c r="F200" s="5" t="s">
        <v>113</v>
      </c>
      <c r="G200" s="6" t="s">
        <v>526</v>
      </c>
      <c r="H200" s="4">
        <f t="shared" si="18"/>
        <v>200</v>
      </c>
      <c r="I200" s="4">
        <f t="shared" si="19"/>
        <v>198</v>
      </c>
      <c r="J200" s="4" t="s">
        <v>305</v>
      </c>
      <c r="K200" s="4">
        <v>3661</v>
      </c>
      <c r="L200" s="4">
        <v>0</v>
      </c>
    </row>
    <row r="201" spans="1:12" ht="75" x14ac:dyDescent="0.25">
      <c r="A201" s="2">
        <f>IF(BD_Versos[[#This Row],[Tema_Principal]]="","",ROW(BD_Versos[[#This Row],[Tema_Principal]])-1)</f>
        <v>200</v>
      </c>
      <c r="B201" s="3" t="s">
        <v>291</v>
      </c>
      <c r="C201" s="2" t="s">
        <v>293</v>
      </c>
      <c r="D201" s="4" t="s">
        <v>50</v>
      </c>
      <c r="E201" s="4">
        <v>13</v>
      </c>
      <c r="F201" s="5" t="s">
        <v>31</v>
      </c>
      <c r="G201" s="6" t="s">
        <v>527</v>
      </c>
      <c r="H201" s="4">
        <f t="shared" si="18"/>
        <v>201</v>
      </c>
      <c r="I201" s="4">
        <f t="shared" si="19"/>
        <v>199</v>
      </c>
      <c r="J201" s="4" t="s">
        <v>305</v>
      </c>
      <c r="K201" s="4">
        <v>3661</v>
      </c>
      <c r="L201" s="4">
        <v>0</v>
      </c>
    </row>
    <row r="202" spans="1:12" ht="60" x14ac:dyDescent="0.25">
      <c r="A202" s="2">
        <f>IF(BD_Versos[[#This Row],[Tema_Principal]]="","",ROW(BD_Versos[[#This Row],[Tema_Principal]])-1)</f>
        <v>201</v>
      </c>
      <c r="B202" s="3" t="s">
        <v>291</v>
      </c>
      <c r="C202" s="2" t="s">
        <v>293</v>
      </c>
      <c r="D202" s="4" t="s">
        <v>30</v>
      </c>
      <c r="E202" s="4">
        <v>6</v>
      </c>
      <c r="F202" s="5" t="s">
        <v>37</v>
      </c>
      <c r="G202" s="6" t="s">
        <v>528</v>
      </c>
      <c r="H202" s="4">
        <f t="shared" si="18"/>
        <v>202</v>
      </c>
      <c r="I202" s="4">
        <f t="shared" si="19"/>
        <v>200</v>
      </c>
      <c r="J202" s="4" t="s">
        <v>305</v>
      </c>
      <c r="K202" s="4">
        <v>3661</v>
      </c>
      <c r="L202" s="4">
        <v>0</v>
      </c>
    </row>
    <row r="203" spans="1:12" ht="30" x14ac:dyDescent="0.25">
      <c r="A203" s="2">
        <f>IF(BD_Versos[[#This Row],[Tema_Principal]]="","",ROW(BD_Versos[[#This Row],[Tema_Principal]])-1)</f>
        <v>202</v>
      </c>
      <c r="B203" s="3" t="s">
        <v>291</v>
      </c>
      <c r="C203" s="2" t="s">
        <v>293</v>
      </c>
      <c r="D203" s="4" t="s">
        <v>30</v>
      </c>
      <c r="E203" s="4">
        <v>8</v>
      </c>
      <c r="F203" s="5" t="s">
        <v>108</v>
      </c>
      <c r="G203" s="6" t="s">
        <v>529</v>
      </c>
      <c r="H203" s="4">
        <f t="shared" si="18"/>
        <v>203</v>
      </c>
      <c r="I203" s="4">
        <f t="shared" si="19"/>
        <v>201</v>
      </c>
      <c r="J203" s="4" t="s">
        <v>305</v>
      </c>
      <c r="K203" s="4">
        <v>3661</v>
      </c>
      <c r="L203" s="4">
        <v>0</v>
      </c>
    </row>
    <row r="204" spans="1:12" ht="30" x14ac:dyDescent="0.25">
      <c r="A204" s="2">
        <f>IF(BD_Versos[[#This Row],[Tema_Principal]]="","",ROW(BD_Versos[[#This Row],[Tema_Principal]])-1)</f>
        <v>203</v>
      </c>
      <c r="B204" s="3" t="s">
        <v>291</v>
      </c>
      <c r="C204" s="2" t="s">
        <v>293</v>
      </c>
      <c r="D204" s="4" t="s">
        <v>91</v>
      </c>
      <c r="E204" s="4">
        <v>8</v>
      </c>
      <c r="F204" s="5" t="s">
        <v>297</v>
      </c>
      <c r="G204" s="6" t="s">
        <v>530</v>
      </c>
      <c r="H204" s="4">
        <f t="shared" si="18"/>
        <v>204</v>
      </c>
      <c r="I204" s="4">
        <f t="shared" si="19"/>
        <v>202</v>
      </c>
      <c r="J204" s="4" t="s">
        <v>305</v>
      </c>
      <c r="K204" s="4">
        <v>3661</v>
      </c>
      <c r="L204" s="4">
        <v>0</v>
      </c>
    </row>
    <row r="205" spans="1:12" ht="45" x14ac:dyDescent="0.25">
      <c r="A205" s="2">
        <f>IF(BD_Versos[[#This Row],[Tema_Principal]]="","",ROW(BD_Versos[[#This Row],[Tema_Principal]])-1)</f>
        <v>204</v>
      </c>
      <c r="B205" s="3" t="s">
        <v>291</v>
      </c>
      <c r="C205" s="2" t="s">
        <v>293</v>
      </c>
      <c r="D205" s="4" t="s">
        <v>91</v>
      </c>
      <c r="E205" s="4">
        <v>8</v>
      </c>
      <c r="F205" s="5" t="s">
        <v>307</v>
      </c>
      <c r="G205" s="6" t="s">
        <v>531</v>
      </c>
      <c r="H205" s="4">
        <f t="shared" si="18"/>
        <v>205</v>
      </c>
      <c r="I205" s="4">
        <f t="shared" si="19"/>
        <v>203</v>
      </c>
      <c r="J205" s="4" t="s">
        <v>305</v>
      </c>
      <c r="K205" s="4">
        <v>3661</v>
      </c>
      <c r="L205" s="4">
        <v>0</v>
      </c>
    </row>
    <row r="206" spans="1:12" ht="45" x14ac:dyDescent="0.25">
      <c r="A206" s="2">
        <f>IF(BD_Versos[[#This Row],[Tema_Principal]]="","",ROW(BD_Versos[[#This Row],[Tema_Principal]])-1)</f>
        <v>205</v>
      </c>
      <c r="B206" s="3" t="s">
        <v>291</v>
      </c>
      <c r="C206" s="2" t="s">
        <v>293</v>
      </c>
      <c r="D206" s="4" t="s">
        <v>91</v>
      </c>
      <c r="E206" s="4">
        <v>12</v>
      </c>
      <c r="F206" s="5" t="s">
        <v>111</v>
      </c>
      <c r="G206" s="6" t="s">
        <v>532</v>
      </c>
      <c r="H206" s="4">
        <f t="shared" si="18"/>
        <v>206</v>
      </c>
      <c r="I206" s="4">
        <f t="shared" si="19"/>
        <v>204</v>
      </c>
      <c r="J206" s="4" t="s">
        <v>305</v>
      </c>
      <c r="K206" s="4">
        <v>3661</v>
      </c>
      <c r="L206" s="4">
        <v>0</v>
      </c>
    </row>
    <row r="207" spans="1:12" ht="45" x14ac:dyDescent="0.25">
      <c r="A207" s="2">
        <f>IF(BD_Versos[[#This Row],[Tema_Principal]]="","",ROW(BD_Versos[[#This Row],[Tema_Principal]])-1)</f>
        <v>206</v>
      </c>
      <c r="B207" s="3" t="s">
        <v>291</v>
      </c>
      <c r="C207" s="2" t="s">
        <v>293</v>
      </c>
      <c r="D207" s="4" t="s">
        <v>13</v>
      </c>
      <c r="E207" s="4">
        <v>3</v>
      </c>
      <c r="F207" s="5" t="s">
        <v>298</v>
      </c>
      <c r="G207" s="6" t="s">
        <v>533</v>
      </c>
      <c r="H207" s="4">
        <f t="shared" si="18"/>
        <v>207</v>
      </c>
      <c r="I207" s="4">
        <f t="shared" si="19"/>
        <v>205</v>
      </c>
      <c r="J207" s="4" t="s">
        <v>305</v>
      </c>
      <c r="K207" s="4">
        <v>3661</v>
      </c>
      <c r="L207" s="4">
        <v>0</v>
      </c>
    </row>
    <row r="208" spans="1:12" ht="30" x14ac:dyDescent="0.25">
      <c r="A208" s="2">
        <f>IF(BD_Versos[[#This Row],[Tema_Principal]]="","",ROW(BD_Versos[[#This Row],[Tema_Principal]])-1)</f>
        <v>207</v>
      </c>
      <c r="B208" s="3" t="s">
        <v>291</v>
      </c>
      <c r="C208" s="2" t="s">
        <v>293</v>
      </c>
      <c r="D208" s="4" t="s">
        <v>13</v>
      </c>
      <c r="E208" s="4">
        <v>7</v>
      </c>
      <c r="F208" s="5" t="s">
        <v>308</v>
      </c>
      <c r="G208" s="6" t="s">
        <v>534</v>
      </c>
      <c r="H208" s="4">
        <f t="shared" si="18"/>
        <v>208</v>
      </c>
      <c r="I208" s="4">
        <f t="shared" si="19"/>
        <v>206</v>
      </c>
      <c r="J208" s="4" t="s">
        <v>305</v>
      </c>
      <c r="K208" s="4">
        <v>3661</v>
      </c>
      <c r="L208" s="4">
        <v>0</v>
      </c>
    </row>
    <row r="209" spans="1:12" ht="30" x14ac:dyDescent="0.25">
      <c r="A209" s="2">
        <f>IF(BD_Versos[[#This Row],[Tema_Principal]]="","",ROW(BD_Versos[[#This Row],[Tema_Principal]])-1)</f>
        <v>208</v>
      </c>
      <c r="B209" s="3" t="s">
        <v>291</v>
      </c>
      <c r="C209" s="2" t="s">
        <v>293</v>
      </c>
      <c r="D209" s="4" t="s">
        <v>13</v>
      </c>
      <c r="E209" s="4">
        <v>28</v>
      </c>
      <c r="F209" s="5" t="s">
        <v>51</v>
      </c>
      <c r="G209" s="6" t="s">
        <v>535</v>
      </c>
      <c r="H209" s="4">
        <f t="shared" si="18"/>
        <v>209</v>
      </c>
      <c r="I209" s="4">
        <f t="shared" si="19"/>
        <v>207</v>
      </c>
      <c r="J209" s="4" t="s">
        <v>305</v>
      </c>
      <c r="K209" s="4">
        <v>3661</v>
      </c>
      <c r="L209" s="4">
        <v>0</v>
      </c>
    </row>
    <row r="210" spans="1:12" ht="45" x14ac:dyDescent="0.25">
      <c r="A210" s="2">
        <f>IF(BD_Versos[[#This Row],[Tema_Principal]]="","",ROW(BD_Versos[[#This Row],[Tema_Principal]])-1)</f>
        <v>209</v>
      </c>
      <c r="B210" s="3" t="s">
        <v>291</v>
      </c>
      <c r="C210" s="2" t="s">
        <v>293</v>
      </c>
      <c r="D210" s="4" t="s">
        <v>92</v>
      </c>
      <c r="E210" s="4">
        <v>11</v>
      </c>
      <c r="F210" s="5" t="s">
        <v>118</v>
      </c>
      <c r="G210" s="6" t="s">
        <v>472</v>
      </c>
      <c r="H210" s="4">
        <f t="shared" si="18"/>
        <v>210</v>
      </c>
      <c r="I210" s="4">
        <f t="shared" si="19"/>
        <v>208</v>
      </c>
      <c r="J210" s="4" t="s">
        <v>305</v>
      </c>
      <c r="K210" s="4">
        <v>3661</v>
      </c>
      <c r="L210" s="4">
        <v>0</v>
      </c>
    </row>
    <row r="211" spans="1:12" ht="60" x14ac:dyDescent="0.25">
      <c r="A211" s="2">
        <f>IF(BD_Versos[[#This Row],[Tema_Principal]]="","",ROW(BD_Versos[[#This Row],[Tema_Principal]])-1)</f>
        <v>210</v>
      </c>
      <c r="B211" s="3" t="s">
        <v>291</v>
      </c>
      <c r="C211" s="2" t="s">
        <v>293</v>
      </c>
      <c r="D211" s="4" t="s">
        <v>15</v>
      </c>
      <c r="E211" s="4">
        <v>14</v>
      </c>
      <c r="F211" s="5" t="s">
        <v>123</v>
      </c>
      <c r="G211" s="6" t="s">
        <v>536</v>
      </c>
      <c r="H211" s="4">
        <f t="shared" si="18"/>
        <v>211</v>
      </c>
      <c r="I211" s="4">
        <f t="shared" si="19"/>
        <v>209</v>
      </c>
      <c r="J211" s="4" t="s">
        <v>305</v>
      </c>
      <c r="K211" s="4">
        <v>3661</v>
      </c>
      <c r="L211" s="4">
        <v>0</v>
      </c>
    </row>
    <row r="212" spans="1:12" ht="30" x14ac:dyDescent="0.25">
      <c r="A212" s="2">
        <f>IF(BD_Versos[[#This Row],[Tema_Principal]]="","",ROW(BD_Versos[[#This Row],[Tema_Principal]])-1)</f>
        <v>211</v>
      </c>
      <c r="B212" s="3" t="s">
        <v>291</v>
      </c>
      <c r="C212" s="2" t="s">
        <v>293</v>
      </c>
      <c r="D212" s="4" t="s">
        <v>23</v>
      </c>
      <c r="E212" s="4">
        <v>4</v>
      </c>
      <c r="F212" s="5" t="s">
        <v>122</v>
      </c>
      <c r="G212" s="6" t="s">
        <v>537</v>
      </c>
      <c r="H212" s="4">
        <f t="shared" si="18"/>
        <v>212</v>
      </c>
      <c r="I212" s="4">
        <f t="shared" si="19"/>
        <v>210</v>
      </c>
      <c r="J212" s="4" t="s">
        <v>305</v>
      </c>
      <c r="K212" s="4">
        <v>3661</v>
      </c>
      <c r="L212" s="4">
        <v>0</v>
      </c>
    </row>
    <row r="213" spans="1:12" ht="60" x14ac:dyDescent="0.25">
      <c r="A213" s="2">
        <f>IF(BD_Versos[[#This Row],[Tema_Principal]]="","",ROW(BD_Versos[[#This Row],[Tema_Principal]])-1)</f>
        <v>212</v>
      </c>
      <c r="B213" s="3" t="s">
        <v>291</v>
      </c>
      <c r="C213" s="2" t="s">
        <v>293</v>
      </c>
      <c r="D213" s="4" t="s">
        <v>102</v>
      </c>
      <c r="E213" s="4">
        <v>4</v>
      </c>
      <c r="F213" s="5" t="s">
        <v>34</v>
      </c>
      <c r="G213" s="6" t="s">
        <v>538</v>
      </c>
      <c r="I213" s="4">
        <f t="shared" si="19"/>
        <v>211</v>
      </c>
      <c r="J213" s="4" t="s">
        <v>305</v>
      </c>
      <c r="K213" s="4">
        <v>3661</v>
      </c>
      <c r="L213" s="4">
        <v>0</v>
      </c>
    </row>
    <row r="214" spans="1:12" ht="120" x14ac:dyDescent="0.25">
      <c r="A214" s="2">
        <f>IF(BD_Versos[[#This Row],[Tema_Principal]]="","",ROW(BD_Versos[[#This Row],[Tema_Principal]])-1)</f>
        <v>213</v>
      </c>
      <c r="B214" s="3" t="s">
        <v>347</v>
      </c>
      <c r="C214" s="2" t="s">
        <v>585</v>
      </c>
      <c r="D214" s="4" t="s">
        <v>50</v>
      </c>
      <c r="E214" s="4">
        <v>4</v>
      </c>
      <c r="F214" s="5" t="s">
        <v>298</v>
      </c>
      <c r="G214" s="6" t="s">
        <v>539</v>
      </c>
      <c r="H214" s="4">
        <f t="shared" si="18"/>
        <v>214</v>
      </c>
      <c r="K214" s="4"/>
      <c r="L214" s="4"/>
    </row>
    <row r="215" spans="1:12" ht="60" x14ac:dyDescent="0.25">
      <c r="A215" s="2">
        <f>IF(BD_Versos[[#This Row],[Tema_Principal]]="","",ROW(BD_Versos[[#This Row],[Tema_Principal]])-1)</f>
        <v>214</v>
      </c>
      <c r="B215" s="3" t="s">
        <v>347</v>
      </c>
      <c r="C215" s="2" t="s">
        <v>585</v>
      </c>
      <c r="D215" s="4" t="s">
        <v>50</v>
      </c>
      <c r="E215" s="4">
        <v>9</v>
      </c>
      <c r="F215" s="5" t="s">
        <v>139</v>
      </c>
      <c r="G215" s="6" t="s">
        <v>542</v>
      </c>
      <c r="I215" s="4">
        <f t="shared" si="19"/>
        <v>213</v>
      </c>
      <c r="K215" s="4"/>
      <c r="L215" s="4"/>
    </row>
    <row r="216" spans="1:12" ht="45" x14ac:dyDescent="0.25">
      <c r="A216" s="2">
        <f>IF(BD_Versos[[#This Row],[Tema_Principal]]="","",ROW(BD_Versos[[#This Row],[Tema_Principal]])-1)</f>
        <v>215</v>
      </c>
      <c r="B216" s="3" t="s">
        <v>347</v>
      </c>
      <c r="C216" s="2" t="s">
        <v>585</v>
      </c>
      <c r="D216" s="4" t="s">
        <v>33</v>
      </c>
      <c r="E216" s="4">
        <v>4</v>
      </c>
      <c r="F216" s="5" t="s">
        <v>297</v>
      </c>
      <c r="G216" s="6" t="s">
        <v>545</v>
      </c>
      <c r="H216" s="4">
        <f t="shared" ref="H216" si="20">A218</f>
        <v>217</v>
      </c>
      <c r="I216" s="4">
        <f t="shared" ref="I216" si="21">A215</f>
        <v>214</v>
      </c>
      <c r="K216" s="4"/>
      <c r="L216" s="4"/>
    </row>
    <row r="217" spans="1:12" ht="60" x14ac:dyDescent="0.25">
      <c r="A217" s="2">
        <f>IF(BD_Versos[[#This Row],[Tema_Principal]]="","",ROW(BD_Versos[[#This Row],[Tema_Principal]])-1)</f>
        <v>216</v>
      </c>
      <c r="B217" s="3" t="s">
        <v>347</v>
      </c>
      <c r="C217" s="2" t="s">
        <v>585</v>
      </c>
      <c r="D217" s="4" t="s">
        <v>33</v>
      </c>
      <c r="E217" s="4">
        <v>8</v>
      </c>
      <c r="F217" s="5" t="s">
        <v>28</v>
      </c>
      <c r="G217" s="6" t="s">
        <v>546</v>
      </c>
      <c r="H217" s="4">
        <f t="shared" ref="H217" si="22">A219</f>
        <v>218</v>
      </c>
      <c r="I217" s="4">
        <f t="shared" ref="I217" si="23">A216</f>
        <v>215</v>
      </c>
      <c r="K217" s="4"/>
      <c r="L217" s="4"/>
    </row>
    <row r="218" spans="1:12" ht="45" x14ac:dyDescent="0.25">
      <c r="A218" s="2">
        <f>IF(BD_Versos[[#This Row],[Tema_Principal]]="","",ROW(BD_Versos[[#This Row],[Tema_Principal]])-1)</f>
        <v>217</v>
      </c>
      <c r="B218" s="3" t="s">
        <v>347</v>
      </c>
      <c r="C218" s="2" t="s">
        <v>348</v>
      </c>
      <c r="D218" s="4" t="s">
        <v>50</v>
      </c>
      <c r="E218" s="4">
        <v>24</v>
      </c>
      <c r="F218" s="5" t="s">
        <v>47</v>
      </c>
      <c r="G218" s="6" t="s">
        <v>543</v>
      </c>
      <c r="H218" s="4">
        <f t="shared" ref="H218:H221" si="24">A219</f>
        <v>218</v>
      </c>
      <c r="K218" s="4"/>
      <c r="L218" s="4"/>
    </row>
    <row r="219" spans="1:12" ht="45" x14ac:dyDescent="0.25">
      <c r="A219" s="2">
        <f>IF(BD_Versos[[#This Row],[Tema_Principal]]="","",ROW(BD_Versos[[#This Row],[Tema_Principal]])-1)</f>
        <v>218</v>
      </c>
      <c r="B219" s="3" t="s">
        <v>347</v>
      </c>
      <c r="C219" s="2" t="s">
        <v>348</v>
      </c>
      <c r="D219" s="4" t="s">
        <v>30</v>
      </c>
      <c r="E219" s="4">
        <v>1</v>
      </c>
      <c r="F219" s="5" t="s">
        <v>47</v>
      </c>
      <c r="G219" s="6" t="s">
        <v>544</v>
      </c>
      <c r="H219" s="4">
        <f>A217</f>
        <v>216</v>
      </c>
      <c r="I219" s="4">
        <f t="shared" ref="I219" si="25">A218</f>
        <v>217</v>
      </c>
      <c r="K219" s="4"/>
      <c r="L219" s="4"/>
    </row>
    <row r="220" spans="1:12" ht="60" x14ac:dyDescent="0.25">
      <c r="A220" s="2">
        <f>IF(BD_Versos[[#This Row],[Tema_Principal]]="","",ROW(BD_Versos[[#This Row],[Tema_Principal]])-1)</f>
        <v>219</v>
      </c>
      <c r="B220" s="3" t="s">
        <v>347</v>
      </c>
      <c r="C220" s="2" t="s">
        <v>348</v>
      </c>
      <c r="D220" s="4" t="s">
        <v>13</v>
      </c>
      <c r="E220" s="4">
        <v>8</v>
      </c>
      <c r="F220" s="5" t="s">
        <v>110</v>
      </c>
      <c r="G220" s="6" t="s">
        <v>547</v>
      </c>
      <c r="I220" s="4">
        <f>A217</f>
        <v>216</v>
      </c>
      <c r="K220" s="4"/>
      <c r="L220" s="4"/>
    </row>
    <row r="221" spans="1:12" ht="60" x14ac:dyDescent="0.25">
      <c r="A221" s="2">
        <f>IF(BD_Versos[[#This Row],[Tema_Principal]]="","",ROW(BD_Versos[[#This Row],[Tema_Principal]])-1)</f>
        <v>220</v>
      </c>
      <c r="B221" s="3" t="s">
        <v>347</v>
      </c>
      <c r="C221" s="2" t="s">
        <v>540</v>
      </c>
      <c r="D221" s="4" t="s">
        <v>92</v>
      </c>
      <c r="E221" s="4">
        <v>1</v>
      </c>
      <c r="F221" s="5" t="s">
        <v>124</v>
      </c>
      <c r="G221" s="6" t="s">
        <v>548</v>
      </c>
      <c r="H221" s="4">
        <f t="shared" si="24"/>
        <v>221</v>
      </c>
      <c r="K221" s="4"/>
      <c r="L221" s="4"/>
    </row>
    <row r="222" spans="1:12" ht="75" x14ac:dyDescent="0.25">
      <c r="A222" s="2">
        <f>IF(BD_Versos[[#This Row],[Tema_Principal]]="","",ROW(BD_Versos[[#This Row],[Tema_Principal]])-1)</f>
        <v>221</v>
      </c>
      <c r="B222" s="3" t="s">
        <v>347</v>
      </c>
      <c r="C222" s="2" t="s">
        <v>540</v>
      </c>
      <c r="D222" s="4" t="s">
        <v>92</v>
      </c>
      <c r="E222" s="4">
        <v>15</v>
      </c>
      <c r="F222" s="5" t="s">
        <v>137</v>
      </c>
      <c r="G222" s="6" t="s">
        <v>549</v>
      </c>
      <c r="H222" s="4">
        <f t="shared" ref="H222:H223" si="26">A223</f>
        <v>222</v>
      </c>
      <c r="I222" s="4">
        <f t="shared" ref="I222:I224" si="27">A221</f>
        <v>220</v>
      </c>
      <c r="K222" s="4"/>
      <c r="L222" s="4"/>
    </row>
    <row r="223" spans="1:12" ht="90" x14ac:dyDescent="0.25">
      <c r="A223" s="2">
        <f>IF(BD_Versos[[#This Row],[Tema_Principal]]="","",ROW(BD_Versos[[#This Row],[Tema_Principal]])-1)</f>
        <v>222</v>
      </c>
      <c r="B223" s="3" t="s">
        <v>347</v>
      </c>
      <c r="C223" s="2" t="s">
        <v>540</v>
      </c>
      <c r="D223" s="4" t="s">
        <v>95</v>
      </c>
      <c r="E223" s="4">
        <v>1</v>
      </c>
      <c r="F223" s="5" t="s">
        <v>35</v>
      </c>
      <c r="G223" s="6" t="s">
        <v>550</v>
      </c>
      <c r="H223" s="4">
        <f t="shared" si="26"/>
        <v>223</v>
      </c>
      <c r="I223" s="4">
        <f t="shared" si="27"/>
        <v>221</v>
      </c>
      <c r="K223" s="4"/>
      <c r="L223" s="4"/>
    </row>
    <row r="224" spans="1:12" ht="60" x14ac:dyDescent="0.25">
      <c r="A224" s="2">
        <f>IF(BD_Versos[[#This Row],[Tema_Principal]]="","",ROW(BD_Versos[[#This Row],[Tema_Principal]])-1)</f>
        <v>223</v>
      </c>
      <c r="B224" s="3" t="s">
        <v>347</v>
      </c>
      <c r="C224" s="2" t="s">
        <v>540</v>
      </c>
      <c r="D224" s="4" t="s">
        <v>23</v>
      </c>
      <c r="E224" s="4">
        <v>1</v>
      </c>
      <c r="F224" s="5" t="s">
        <v>118</v>
      </c>
      <c r="G224" s="6" t="s">
        <v>551</v>
      </c>
      <c r="I224" s="4">
        <f t="shared" si="27"/>
        <v>222</v>
      </c>
      <c r="K224" s="4"/>
      <c r="L224" s="4"/>
    </row>
    <row r="225" spans="1:12" ht="45" x14ac:dyDescent="0.25">
      <c r="A225" s="2">
        <f>IF(BD_Versos[[#This Row],[Tema_Principal]]="","",ROW(BD_Versos[[#This Row],[Tema_Principal]])-1)</f>
        <v>224</v>
      </c>
      <c r="B225" s="3" t="s">
        <v>347</v>
      </c>
      <c r="C225" s="14" t="s">
        <v>566</v>
      </c>
      <c r="D225" s="4" t="s">
        <v>92</v>
      </c>
      <c r="E225" s="4">
        <v>1</v>
      </c>
      <c r="F225" s="5" t="s">
        <v>300</v>
      </c>
      <c r="G225" s="6" t="s">
        <v>628</v>
      </c>
      <c r="K225" s="4"/>
      <c r="L225" s="4"/>
    </row>
    <row r="226" spans="1:12" ht="30" x14ac:dyDescent="0.25">
      <c r="A226" s="2">
        <f>IF(BD_Versos[[#This Row],[Tema_Principal]]="","",ROW(BD_Versos[[#This Row],[Tema_Principal]])-1)</f>
        <v>225</v>
      </c>
      <c r="B226" s="3" t="s">
        <v>347</v>
      </c>
      <c r="C226" s="14" t="s">
        <v>571</v>
      </c>
      <c r="D226" s="4" t="s">
        <v>39</v>
      </c>
      <c r="E226" s="4">
        <v>6</v>
      </c>
      <c r="F226" s="5" t="s">
        <v>31</v>
      </c>
      <c r="G226" s="6" t="s">
        <v>629</v>
      </c>
      <c r="K226" s="4"/>
      <c r="L226" s="4"/>
    </row>
    <row r="227" spans="1:12" ht="30" x14ac:dyDescent="0.25">
      <c r="A227" s="2">
        <f>IF(BD_Versos[[#This Row],[Tema_Principal]]="","",ROW(BD_Versos[[#This Row],[Tema_Principal]])-1)</f>
        <v>226</v>
      </c>
      <c r="B227" s="3" t="s">
        <v>347</v>
      </c>
      <c r="C227" s="14" t="s">
        <v>571</v>
      </c>
      <c r="D227" s="4" t="s">
        <v>39</v>
      </c>
      <c r="E227" s="4">
        <v>2</v>
      </c>
      <c r="F227" s="5" t="s">
        <v>300</v>
      </c>
      <c r="G227" s="6" t="str" cm="1">
        <f t="array" ref="G227">IF(OR(BD_Versos[[#This Row],[Libro]]="",BD_Versos[[#This Row],[Capítulo]]="",BD_Versos[[#This Row],[Versículo]]=""),"",ExtraerPasaje(_xlfn.CONCAT(BD_Versos[[#This Row],[Libro]],BD_Versos[[#This Row],[Capítulo]],":",BD_Versos[[#This Row],[Versículo]])))</f>
        <v xml:space="preserve">_x000D_ _x000D_ 17 Y vino y anunció(A) paz(B) a vosotros que estabais lejos, y paz a los que estaban cerca(C); _x000D_ </v>
      </c>
      <c r="K227" s="4"/>
      <c r="L227" s="4"/>
    </row>
    <row r="228" spans="1:12" ht="45" x14ac:dyDescent="0.25">
      <c r="A228" s="2">
        <f>IF(BD_Versos[[#This Row],[Tema_Principal]]="","",ROW(BD_Versos[[#This Row],[Tema_Principal]])-1)</f>
        <v>227</v>
      </c>
      <c r="B228" s="3" t="s">
        <v>347</v>
      </c>
      <c r="C228" s="2" t="s">
        <v>635</v>
      </c>
      <c r="D228" s="4" t="s">
        <v>92</v>
      </c>
      <c r="E228" s="4">
        <v>15</v>
      </c>
      <c r="F228" s="5" t="s">
        <v>43</v>
      </c>
      <c r="G228" s="6" t="s">
        <v>552</v>
      </c>
      <c r="H228" s="4">
        <f>A229</f>
        <v>228</v>
      </c>
      <c r="K228" s="4"/>
      <c r="L228" s="4"/>
    </row>
    <row r="229" spans="1:12" ht="75" x14ac:dyDescent="0.25">
      <c r="A229" s="2">
        <f>IF(BD_Versos[[#This Row],[Tema_Principal]]="","",ROW(BD_Versos[[#This Row],[Tema_Principal]])-1)</f>
        <v>228</v>
      </c>
      <c r="B229" s="3" t="s">
        <v>347</v>
      </c>
      <c r="C229" s="2" t="s">
        <v>636</v>
      </c>
      <c r="D229" s="4" t="s">
        <v>92</v>
      </c>
      <c r="E229" s="4">
        <v>15</v>
      </c>
      <c r="F229" s="5" t="s">
        <v>137</v>
      </c>
      <c r="G229" s="6" t="s">
        <v>549</v>
      </c>
      <c r="H229" s="4">
        <f>A230</f>
        <v>229</v>
      </c>
      <c r="K229" s="4"/>
      <c r="L229" s="4"/>
    </row>
    <row r="230" spans="1:12" ht="30" x14ac:dyDescent="0.25">
      <c r="A230" s="2">
        <f>IF(BD_Versos[[#This Row],[Tema_Principal]]="","",ROW(BD_Versos[[#This Row],[Tema_Principal]])-1)</f>
        <v>229</v>
      </c>
      <c r="B230" s="3" t="s">
        <v>347</v>
      </c>
      <c r="C230" s="2" t="s">
        <v>636</v>
      </c>
      <c r="D230" s="4" t="s">
        <v>92</v>
      </c>
      <c r="E230" s="4">
        <v>15</v>
      </c>
      <c r="F230" s="5" t="s">
        <v>111</v>
      </c>
      <c r="G230" s="6" t="s">
        <v>554</v>
      </c>
      <c r="I230" s="4">
        <f>A229</f>
        <v>228</v>
      </c>
      <c r="K230" s="4"/>
      <c r="L230" s="4"/>
    </row>
    <row r="231" spans="1:12" ht="60" x14ac:dyDescent="0.25">
      <c r="A231" s="2">
        <f>IF(BD_Versos[[#This Row],[Tema_Principal]]="","",ROW(BD_Versos[[#This Row],[Tema_Principal]])-1)</f>
        <v>230</v>
      </c>
      <c r="B231" s="3" t="s">
        <v>347</v>
      </c>
      <c r="C231" s="2" t="s">
        <v>637</v>
      </c>
      <c r="D231" s="4" t="s">
        <v>15</v>
      </c>
      <c r="E231" s="4">
        <v>1</v>
      </c>
      <c r="F231" s="5" t="s">
        <v>300</v>
      </c>
      <c r="G231" s="6" t="s">
        <v>555</v>
      </c>
      <c r="H231" s="4">
        <f>A232</f>
        <v>231</v>
      </c>
      <c r="I231" s="4">
        <f>A289</f>
        <v>288</v>
      </c>
      <c r="K231" s="4"/>
      <c r="L231" s="4"/>
    </row>
    <row r="232" spans="1:12" ht="60" x14ac:dyDescent="0.25">
      <c r="A232" s="2">
        <f>IF(BD_Versos[[#This Row],[Tema_Principal]]="","",ROW(BD_Versos[[#This Row],[Tema_Principal]])-1)</f>
        <v>231</v>
      </c>
      <c r="B232" s="3" t="s">
        <v>347</v>
      </c>
      <c r="C232" s="2" t="s">
        <v>586</v>
      </c>
      <c r="D232" s="4" t="s">
        <v>15</v>
      </c>
      <c r="E232" s="4">
        <v>4</v>
      </c>
      <c r="F232" s="5" t="s">
        <v>31</v>
      </c>
      <c r="G232" s="6" t="s">
        <v>556</v>
      </c>
      <c r="H232" s="4">
        <f>A233</f>
        <v>232</v>
      </c>
      <c r="I232" s="4">
        <f>A231</f>
        <v>230</v>
      </c>
      <c r="K232" s="4"/>
      <c r="L232" s="4"/>
    </row>
    <row r="233" spans="1:12" ht="45" x14ac:dyDescent="0.25">
      <c r="A233" s="2">
        <f>IF(BD_Versos[[#This Row],[Tema_Principal]]="","",ROW(BD_Versos[[#This Row],[Tema_Principal]])-1)</f>
        <v>232</v>
      </c>
      <c r="B233" s="3" t="s">
        <v>347</v>
      </c>
      <c r="C233" s="2" t="s">
        <v>586</v>
      </c>
      <c r="D233" s="4" t="s">
        <v>36</v>
      </c>
      <c r="E233" s="4">
        <v>2</v>
      </c>
      <c r="F233" s="5" t="s">
        <v>110</v>
      </c>
      <c r="G233" s="6" t="s">
        <v>558</v>
      </c>
      <c r="H233" s="4">
        <f>A234</f>
        <v>233</v>
      </c>
      <c r="I233" s="4">
        <f>A232</f>
        <v>231</v>
      </c>
      <c r="K233" s="4"/>
      <c r="L233" s="4"/>
    </row>
    <row r="234" spans="1:12" ht="60" x14ac:dyDescent="0.25">
      <c r="A234" s="2">
        <f>IF(BD_Versos[[#This Row],[Tema_Principal]]="","",ROW(BD_Versos[[#This Row],[Tema_Principal]])-1)</f>
        <v>233</v>
      </c>
      <c r="B234" s="3" t="s">
        <v>347</v>
      </c>
      <c r="C234" s="2" t="s">
        <v>587</v>
      </c>
      <c r="D234" s="4" t="s">
        <v>15</v>
      </c>
      <c r="E234" s="4">
        <v>9</v>
      </c>
      <c r="F234" s="5" t="s">
        <v>108</v>
      </c>
      <c r="G234" s="6" t="s">
        <v>557</v>
      </c>
      <c r="I234" s="4">
        <f>A233</f>
        <v>232</v>
      </c>
      <c r="K234" s="4"/>
      <c r="L234" s="4"/>
    </row>
    <row r="235" spans="1:12" ht="60" x14ac:dyDescent="0.25">
      <c r="A235" s="2">
        <f>IF(BD_Versos[[#This Row],[Tema_Principal]]="","",ROW(BD_Versos[[#This Row],[Tema_Principal]])-1)</f>
        <v>234</v>
      </c>
      <c r="B235" s="3" t="s">
        <v>347</v>
      </c>
      <c r="C235" s="2" t="s">
        <v>588</v>
      </c>
      <c r="D235" s="4" t="s">
        <v>36</v>
      </c>
      <c r="E235" s="4">
        <v>4</v>
      </c>
      <c r="F235" s="5" t="s">
        <v>122</v>
      </c>
      <c r="G235" s="6" t="s">
        <v>559</v>
      </c>
      <c r="H235" s="4">
        <f t="shared" ref="H235" si="28">A236</f>
        <v>235</v>
      </c>
      <c r="K235" s="4"/>
      <c r="L235" s="4"/>
    </row>
    <row r="236" spans="1:12" ht="75" x14ac:dyDescent="0.25">
      <c r="A236" s="2">
        <f>IF(BD_Versos[[#This Row],[Tema_Principal]]="","",ROW(BD_Versos[[#This Row],[Tema_Principal]])-1)</f>
        <v>235</v>
      </c>
      <c r="B236" s="3" t="s">
        <v>347</v>
      </c>
      <c r="C236" s="2" t="s">
        <v>588</v>
      </c>
      <c r="D236" s="4" t="s">
        <v>36</v>
      </c>
      <c r="E236" s="4">
        <v>9</v>
      </c>
      <c r="F236" s="5" t="s">
        <v>113</v>
      </c>
      <c r="G236" s="6" t="s">
        <v>560</v>
      </c>
      <c r="I236" s="4">
        <f t="shared" ref="I236" si="29">A235</f>
        <v>234</v>
      </c>
      <c r="K236" s="4"/>
      <c r="L236" s="4"/>
    </row>
    <row r="237" spans="1:12" ht="60" x14ac:dyDescent="0.25">
      <c r="A237" s="2">
        <f>IF(BD_Versos[[#This Row],[Tema_Principal]]="","",ROW(BD_Versos[[#This Row],[Tema_Principal]])-1)</f>
        <v>236</v>
      </c>
      <c r="B237" s="3" t="s">
        <v>347</v>
      </c>
      <c r="C237" s="2" t="s">
        <v>589</v>
      </c>
      <c r="D237" s="4" t="s">
        <v>39</v>
      </c>
      <c r="E237" s="4">
        <v>3</v>
      </c>
      <c r="F237" s="5" t="s">
        <v>118</v>
      </c>
      <c r="G237" s="6" t="s">
        <v>561</v>
      </c>
      <c r="K237" s="4"/>
      <c r="L237" s="4"/>
    </row>
    <row r="238" spans="1:12" ht="45" x14ac:dyDescent="0.25">
      <c r="A238" s="2">
        <f>IF(BD_Versos[[#This Row],[Tema_Principal]]="","",ROW(BD_Versos[[#This Row],[Tema_Principal]])-1)</f>
        <v>237</v>
      </c>
      <c r="B238" s="3" t="s">
        <v>347</v>
      </c>
      <c r="C238" s="2" t="s">
        <v>590</v>
      </c>
      <c r="D238" s="4" t="s">
        <v>18</v>
      </c>
      <c r="E238" s="4">
        <v>1</v>
      </c>
      <c r="F238" s="5" t="s">
        <v>37</v>
      </c>
      <c r="G238" s="6" t="s">
        <v>594</v>
      </c>
      <c r="K238" s="4"/>
      <c r="L238" s="4"/>
    </row>
    <row r="239" spans="1:12" ht="90" x14ac:dyDescent="0.25">
      <c r="A239" s="2">
        <f>IF(BD_Versos[[#This Row],[Tema_Principal]]="","",ROW(BD_Versos[[#This Row],[Tema_Principal]])-1)</f>
        <v>238</v>
      </c>
      <c r="B239" s="3" t="s">
        <v>347</v>
      </c>
      <c r="C239" s="2" t="s">
        <v>570</v>
      </c>
      <c r="D239" s="4" t="s">
        <v>20</v>
      </c>
      <c r="E239" s="4">
        <v>1</v>
      </c>
      <c r="F239" s="5" t="s">
        <v>112</v>
      </c>
      <c r="G239" s="6" t="s">
        <v>562</v>
      </c>
      <c r="H239" s="4">
        <f t="shared" ref="H239" si="30">A240</f>
        <v>239</v>
      </c>
      <c r="K239" s="4"/>
      <c r="L239" s="4"/>
    </row>
    <row r="240" spans="1:12" ht="60" x14ac:dyDescent="0.25">
      <c r="A240" s="2">
        <f>IF(BD_Versos[[#This Row],[Tema_Principal]]="","",ROW(BD_Versos[[#This Row],[Tema_Principal]])-1)</f>
        <v>239</v>
      </c>
      <c r="B240" s="3" t="s">
        <v>347</v>
      </c>
      <c r="C240" s="2" t="s">
        <v>570</v>
      </c>
      <c r="D240" s="4" t="s">
        <v>20</v>
      </c>
      <c r="E240" s="4">
        <v>1</v>
      </c>
      <c r="F240" s="5" t="s">
        <v>110</v>
      </c>
      <c r="G240" s="6" t="s">
        <v>563</v>
      </c>
      <c r="H240" s="4">
        <f t="shared" ref="H240" si="31">A241</f>
        <v>240</v>
      </c>
      <c r="I240" s="4">
        <f t="shared" ref="I240" si="32">A239</f>
        <v>238</v>
      </c>
      <c r="K240" s="4"/>
      <c r="L240" s="4"/>
    </row>
    <row r="241" spans="1:12" ht="45" x14ac:dyDescent="0.25">
      <c r="A241" s="2">
        <f>IF(BD_Versos[[#This Row],[Tema_Principal]]="","",ROW(BD_Versos[[#This Row],[Tema_Principal]])-1)</f>
        <v>240</v>
      </c>
      <c r="B241" s="3" t="s">
        <v>347</v>
      </c>
      <c r="C241" s="2" t="s">
        <v>570</v>
      </c>
      <c r="D241" s="4" t="s">
        <v>18</v>
      </c>
      <c r="E241" s="4">
        <v>4</v>
      </c>
      <c r="F241" s="5" t="s">
        <v>113</v>
      </c>
      <c r="G241" s="6" t="s">
        <v>595</v>
      </c>
      <c r="H241" s="4">
        <f t="shared" ref="H241" si="33">A242</f>
        <v>241</v>
      </c>
      <c r="I241" s="4">
        <f t="shared" ref="I241" si="34">A240</f>
        <v>239</v>
      </c>
      <c r="K241" s="4"/>
      <c r="L241" s="4"/>
    </row>
    <row r="242" spans="1:12" ht="75" x14ac:dyDescent="0.25">
      <c r="A242" s="2">
        <f>IF(BD_Versos[[#This Row],[Tema_Principal]]="","",ROW(BD_Versos[[#This Row],[Tema_Principal]])-1)</f>
        <v>241</v>
      </c>
      <c r="B242" s="3" t="s">
        <v>347</v>
      </c>
      <c r="C242" s="2" t="s">
        <v>570</v>
      </c>
      <c r="D242" s="4" t="s">
        <v>95</v>
      </c>
      <c r="E242" s="4">
        <v>2</v>
      </c>
      <c r="F242" s="5" t="s">
        <v>49</v>
      </c>
      <c r="G242" s="6" t="s">
        <v>596</v>
      </c>
      <c r="H242" s="4">
        <f t="shared" ref="H242:H243" si="35">A243</f>
        <v>242</v>
      </c>
      <c r="I242" s="4">
        <f t="shared" ref="I242:I244" si="36">A241</f>
        <v>240</v>
      </c>
      <c r="K242" s="4"/>
      <c r="L242" s="4"/>
    </row>
    <row r="243" spans="1:12" ht="60" x14ac:dyDescent="0.25">
      <c r="A243" s="2">
        <f>IF(BD_Versos[[#This Row],[Tema_Principal]]="","",ROW(BD_Versos[[#This Row],[Tema_Principal]])-1)</f>
        <v>242</v>
      </c>
      <c r="B243" s="3" t="s">
        <v>347</v>
      </c>
      <c r="C243" s="2" t="s">
        <v>570</v>
      </c>
      <c r="D243" s="4" t="s">
        <v>95</v>
      </c>
      <c r="E243" s="4">
        <v>2</v>
      </c>
      <c r="F243" s="5" t="s">
        <v>41</v>
      </c>
      <c r="G243" s="6" t="s">
        <v>597</v>
      </c>
      <c r="H243" s="4">
        <f t="shared" si="35"/>
        <v>243</v>
      </c>
      <c r="K243" s="4"/>
      <c r="L243" s="4"/>
    </row>
    <row r="244" spans="1:12" ht="60" x14ac:dyDescent="0.25">
      <c r="A244" s="2">
        <f>IF(BD_Versos[[#This Row],[Tema_Principal]]="","",ROW(BD_Versos[[#This Row],[Tema_Principal]])-1)</f>
        <v>243</v>
      </c>
      <c r="B244" s="3" t="s">
        <v>347</v>
      </c>
      <c r="C244" s="2" t="s">
        <v>570</v>
      </c>
      <c r="D244" s="4" t="s">
        <v>23</v>
      </c>
      <c r="E244" s="4">
        <v>1</v>
      </c>
      <c r="F244" s="5" t="s">
        <v>118</v>
      </c>
      <c r="G244" s="6" t="s">
        <v>598</v>
      </c>
      <c r="I244" s="4">
        <f t="shared" si="36"/>
        <v>242</v>
      </c>
      <c r="K244" s="4"/>
      <c r="L244" s="4"/>
    </row>
    <row r="245" spans="1:12" ht="75" x14ac:dyDescent="0.25">
      <c r="A245" s="2">
        <f>IF(BD_Versos[[#This Row],[Tema_Principal]]="","",ROW(BD_Versos[[#This Row],[Tema_Principal]])-1)</f>
        <v>244</v>
      </c>
      <c r="B245" s="3" t="s">
        <v>347</v>
      </c>
      <c r="C245" s="2" t="s">
        <v>568</v>
      </c>
      <c r="D245" s="4" t="s">
        <v>15</v>
      </c>
      <c r="E245" s="4">
        <v>9</v>
      </c>
      <c r="F245" s="5" t="s">
        <v>110</v>
      </c>
      <c r="G245" s="6" t="s">
        <v>599</v>
      </c>
      <c r="H245" s="4">
        <f t="shared" ref="H245" si="37">A246</f>
        <v>245</v>
      </c>
      <c r="K245" s="4"/>
      <c r="L245" s="4"/>
    </row>
    <row r="246" spans="1:12" ht="60" x14ac:dyDescent="0.25">
      <c r="A246" s="2">
        <f>IF(BD_Versos[[#This Row],[Tema_Principal]]="","",ROW(BD_Versos[[#This Row],[Tema_Principal]])-1)</f>
        <v>245</v>
      </c>
      <c r="B246" s="3" t="s">
        <v>347</v>
      </c>
      <c r="C246" s="2" t="s">
        <v>568</v>
      </c>
      <c r="D246" s="4" t="s">
        <v>15</v>
      </c>
      <c r="E246" s="4">
        <v>9</v>
      </c>
      <c r="F246" s="5" t="s">
        <v>124</v>
      </c>
      <c r="G246" s="6" t="s">
        <v>600</v>
      </c>
      <c r="H246" s="4">
        <f t="shared" ref="H246" si="38">A247</f>
        <v>246</v>
      </c>
      <c r="I246" s="4">
        <f t="shared" ref="I246:I247" si="39">A245</f>
        <v>244</v>
      </c>
      <c r="K246" s="4"/>
      <c r="L246" s="4"/>
    </row>
    <row r="247" spans="1:12" ht="30" x14ac:dyDescent="0.25">
      <c r="A247" s="2">
        <f>IF(BD_Versos[[#This Row],[Tema_Principal]]="","",ROW(BD_Versos[[#This Row],[Tema_Principal]])-1)</f>
        <v>246</v>
      </c>
      <c r="B247" s="3" t="s">
        <v>347</v>
      </c>
      <c r="C247" s="2" t="s">
        <v>568</v>
      </c>
      <c r="D247" s="4" t="s">
        <v>15</v>
      </c>
      <c r="E247" s="4">
        <v>9</v>
      </c>
      <c r="F247" s="5" t="s">
        <v>298</v>
      </c>
      <c r="G247" s="6" t="s">
        <v>601</v>
      </c>
      <c r="I247" s="4">
        <f t="shared" si="39"/>
        <v>245</v>
      </c>
      <c r="K247" s="4"/>
      <c r="L247" s="4"/>
    </row>
    <row r="248" spans="1:12" ht="45" x14ac:dyDescent="0.25">
      <c r="A248" s="2">
        <f>IF(BD_Versos[[#This Row],[Tema_Principal]]="","",ROW(BD_Versos[[#This Row],[Tema_Principal]])-1)</f>
        <v>247</v>
      </c>
      <c r="B248" s="3" t="s">
        <v>347</v>
      </c>
      <c r="C248" s="2" t="s">
        <v>572</v>
      </c>
      <c r="D248" s="4" t="s">
        <v>39</v>
      </c>
      <c r="E248" s="4">
        <v>6</v>
      </c>
      <c r="F248" s="5" t="s">
        <v>137</v>
      </c>
      <c r="G248" s="6" t="s">
        <v>602</v>
      </c>
      <c r="H248" s="4">
        <f t="shared" ref="H248" si="40">A249</f>
        <v>248</v>
      </c>
      <c r="K248" s="4"/>
      <c r="L248" s="4"/>
    </row>
    <row r="249" spans="1:12" ht="60" x14ac:dyDescent="0.25">
      <c r="A249" s="2">
        <f>IF(BD_Versos[[#This Row],[Tema_Principal]]="","",ROW(BD_Versos[[#This Row],[Tema_Principal]])-1)</f>
        <v>248</v>
      </c>
      <c r="B249" s="3" t="s">
        <v>347</v>
      </c>
      <c r="C249" s="2" t="s">
        <v>572</v>
      </c>
      <c r="D249" s="4" t="s">
        <v>39</v>
      </c>
      <c r="E249" s="4">
        <v>3</v>
      </c>
      <c r="F249" s="5" t="s">
        <v>118</v>
      </c>
      <c r="G249" s="6" t="s">
        <v>561</v>
      </c>
      <c r="I249" s="4">
        <f t="shared" ref="I249" si="41">A248</f>
        <v>247</v>
      </c>
      <c r="K249" s="4"/>
      <c r="L249" s="4"/>
    </row>
    <row r="250" spans="1:12" ht="45" x14ac:dyDescent="0.25">
      <c r="A250" s="2">
        <f>IF(BD_Versos[[#This Row],[Tema_Principal]]="","",ROW(BD_Versos[[#This Row],[Tema_Principal]])-1)</f>
        <v>249</v>
      </c>
      <c r="B250" s="3" t="s">
        <v>347</v>
      </c>
      <c r="C250" s="2" t="s">
        <v>567</v>
      </c>
      <c r="D250" s="4" t="s">
        <v>92</v>
      </c>
      <c r="E250" s="4">
        <v>15</v>
      </c>
      <c r="F250" s="5" t="s">
        <v>43</v>
      </c>
      <c r="G250" s="6" t="s">
        <v>603</v>
      </c>
      <c r="H250" s="4">
        <f t="shared" ref="H250" si="42">A251</f>
        <v>250</v>
      </c>
      <c r="K250" s="4"/>
      <c r="L250" s="4"/>
    </row>
    <row r="251" spans="1:12" ht="71.25" customHeight="1" x14ac:dyDescent="0.25">
      <c r="A251" s="2">
        <f>IF(BD_Versos[[#This Row],[Tema_Principal]]="","",ROW(BD_Versos[[#This Row],[Tema_Principal]])-1)</f>
        <v>250</v>
      </c>
      <c r="B251" s="3" t="s">
        <v>347</v>
      </c>
      <c r="C251" s="2" t="s">
        <v>567</v>
      </c>
      <c r="D251" s="4" t="s">
        <v>92</v>
      </c>
      <c r="E251" s="4">
        <v>15</v>
      </c>
      <c r="F251" s="5" t="s">
        <v>124</v>
      </c>
      <c r="G251" s="6" t="s">
        <v>604</v>
      </c>
      <c r="H251" s="4">
        <f>A252</f>
        <v>251</v>
      </c>
      <c r="I251" s="4">
        <f t="shared" ref="I251:I254" si="43">A250</f>
        <v>249</v>
      </c>
      <c r="K251" s="4"/>
      <c r="L251" s="4"/>
    </row>
    <row r="252" spans="1:12" ht="75" x14ac:dyDescent="0.25">
      <c r="A252" s="2">
        <f>IF(BD_Versos[[#This Row],[Tema_Principal]]="","",ROW(BD_Versos[[#This Row],[Tema_Principal]])-1)</f>
        <v>251</v>
      </c>
      <c r="B252" s="3" t="s">
        <v>347</v>
      </c>
      <c r="C252" s="2" t="s">
        <v>567</v>
      </c>
      <c r="D252" s="4" t="s">
        <v>18</v>
      </c>
      <c r="E252" s="4">
        <v>2</v>
      </c>
      <c r="F252" s="5" t="s">
        <v>49</v>
      </c>
      <c r="G252" s="6" t="s">
        <v>605</v>
      </c>
      <c r="H252" s="4">
        <f>A253</f>
        <v>252</v>
      </c>
      <c r="I252" s="4">
        <f t="shared" si="43"/>
        <v>250</v>
      </c>
      <c r="K252" s="4"/>
      <c r="L252" s="4"/>
    </row>
    <row r="253" spans="1:12" ht="60" x14ac:dyDescent="0.25">
      <c r="A253" s="2">
        <f>IF(BD_Versos[[#This Row],[Tema_Principal]]="","",ROW(BD_Versos[[#This Row],[Tema_Principal]])-1)</f>
        <v>252</v>
      </c>
      <c r="B253" s="3" t="s">
        <v>347</v>
      </c>
      <c r="C253" s="2" t="s">
        <v>567</v>
      </c>
      <c r="D253" s="4" t="s">
        <v>18</v>
      </c>
      <c r="E253" s="4">
        <v>2</v>
      </c>
      <c r="F253" s="5" t="s">
        <v>43</v>
      </c>
      <c r="G253" s="6" t="s">
        <v>606</v>
      </c>
      <c r="H253" s="4">
        <f>A254</f>
        <v>253</v>
      </c>
      <c r="I253" s="4">
        <f t="shared" si="43"/>
        <v>251</v>
      </c>
      <c r="K253" s="4"/>
      <c r="L253" s="4"/>
    </row>
    <row r="254" spans="1:12" ht="38.25" customHeight="1" x14ac:dyDescent="0.25">
      <c r="A254" s="2">
        <f>IF(BD_Versos[[#This Row],[Tema_Principal]]="","",ROW(BD_Versos[[#This Row],[Tema_Principal]])-1)</f>
        <v>253</v>
      </c>
      <c r="B254" s="3" t="s">
        <v>347</v>
      </c>
      <c r="C254" s="2" t="s">
        <v>567</v>
      </c>
      <c r="D254" s="4" t="s">
        <v>39</v>
      </c>
      <c r="E254" s="4">
        <v>3</v>
      </c>
      <c r="F254" s="5" t="s">
        <v>34</v>
      </c>
      <c r="G254" s="6" t="s">
        <v>607</v>
      </c>
      <c r="I254" s="4">
        <f t="shared" si="43"/>
        <v>252</v>
      </c>
      <c r="K254" s="4"/>
      <c r="L254" s="4"/>
    </row>
    <row r="255" spans="1:12" ht="60" x14ac:dyDescent="0.25">
      <c r="A255" s="2">
        <f>IF(BD_Versos[[#This Row],[Tema_Principal]]="","",ROW(BD_Versos[[#This Row],[Tema_Principal]])-1)</f>
        <v>254</v>
      </c>
      <c r="B255" s="3" t="s">
        <v>347</v>
      </c>
      <c r="C255" s="2" t="s">
        <v>579</v>
      </c>
      <c r="D255" s="4" t="s">
        <v>50</v>
      </c>
      <c r="E255" s="4">
        <v>11</v>
      </c>
      <c r="F255" s="5" t="s">
        <v>35</v>
      </c>
      <c r="G255" s="6" t="s">
        <v>608</v>
      </c>
      <c r="H255" s="4">
        <f t="shared" ref="H255" si="44">A256</f>
        <v>255</v>
      </c>
      <c r="K255" s="4"/>
      <c r="L255" s="4"/>
    </row>
    <row r="256" spans="1:12" ht="90" x14ac:dyDescent="0.25">
      <c r="A256" s="2">
        <f>IF(BD_Versos[[#This Row],[Tema_Principal]]="","",ROW(BD_Versos[[#This Row],[Tema_Principal]])-1)</f>
        <v>255</v>
      </c>
      <c r="B256" s="3" t="s">
        <v>347</v>
      </c>
      <c r="C256" s="2" t="s">
        <v>579</v>
      </c>
      <c r="D256" s="4" t="s">
        <v>33</v>
      </c>
      <c r="E256" s="4">
        <v>4</v>
      </c>
      <c r="F256" s="5" t="s">
        <v>581</v>
      </c>
      <c r="G256" s="6" t="s">
        <v>609</v>
      </c>
      <c r="I256" s="4">
        <f t="shared" ref="I256" si="45">A255</f>
        <v>254</v>
      </c>
      <c r="K256" s="4"/>
      <c r="L256" s="4"/>
    </row>
    <row r="257" spans="1:12" ht="30" x14ac:dyDescent="0.25">
      <c r="A257" s="2">
        <f>IF(BD_Versos[[#This Row],[Tema_Principal]]="","",ROW(BD_Versos[[#This Row],[Tema_Principal]])-1)</f>
        <v>256</v>
      </c>
      <c r="B257" s="3" t="s">
        <v>347</v>
      </c>
      <c r="C257" s="2" t="s">
        <v>638</v>
      </c>
      <c r="D257" s="4" t="s">
        <v>36</v>
      </c>
      <c r="E257" s="4">
        <v>4</v>
      </c>
      <c r="F257" s="5" t="s">
        <v>38</v>
      </c>
      <c r="G257" s="6" t="s">
        <v>610</v>
      </c>
      <c r="H257" s="4">
        <f t="shared" ref="H257" si="46">A258</f>
        <v>257</v>
      </c>
      <c r="K257" s="4"/>
      <c r="L257" s="4"/>
    </row>
    <row r="258" spans="1:12" ht="60" x14ac:dyDescent="0.25">
      <c r="A258" s="2">
        <f>IF(BD_Versos[[#This Row],[Tema_Principal]]="","",ROW(BD_Versos[[#This Row],[Tema_Principal]])-1)</f>
        <v>257</v>
      </c>
      <c r="B258" s="3" t="s">
        <v>347</v>
      </c>
      <c r="C258" s="2" t="s">
        <v>638</v>
      </c>
      <c r="D258" s="4" t="s">
        <v>36</v>
      </c>
      <c r="E258" s="4">
        <v>4</v>
      </c>
      <c r="F258" s="5" t="s">
        <v>122</v>
      </c>
      <c r="G258" s="6" t="s">
        <v>611</v>
      </c>
      <c r="H258" s="4">
        <f t="shared" ref="H258" si="47">A259</f>
        <v>258</v>
      </c>
      <c r="I258" s="4">
        <f t="shared" ref="I258:I259" si="48">A257</f>
        <v>256</v>
      </c>
      <c r="K258" s="4"/>
      <c r="L258" s="4"/>
    </row>
    <row r="259" spans="1:12" ht="135" x14ac:dyDescent="0.25">
      <c r="A259" s="2">
        <f>IF(BD_Versos[[#This Row],[Tema_Principal]]="","",ROW(BD_Versos[[#This Row],[Tema_Principal]])-1)</f>
        <v>258</v>
      </c>
      <c r="B259" s="3" t="s">
        <v>347</v>
      </c>
      <c r="C259" s="2" t="s">
        <v>638</v>
      </c>
      <c r="D259" s="4" t="s">
        <v>40</v>
      </c>
      <c r="E259" s="4">
        <v>1</v>
      </c>
      <c r="F259" s="5" t="s">
        <v>575</v>
      </c>
      <c r="G259" s="6" t="s">
        <v>612</v>
      </c>
      <c r="I259" s="4">
        <f t="shared" si="48"/>
        <v>257</v>
      </c>
      <c r="K259" s="4"/>
      <c r="L259" s="4"/>
    </row>
    <row r="260" spans="1:12" ht="105" x14ac:dyDescent="0.25">
      <c r="A260" s="2">
        <f>IF(BD_Versos[[#This Row],[Tema_Principal]]="","",ROW(BD_Versos[[#This Row],[Tema_Principal]])-1)</f>
        <v>259</v>
      </c>
      <c r="B260" s="3" t="s">
        <v>347</v>
      </c>
      <c r="C260" s="2" t="s">
        <v>573</v>
      </c>
      <c r="D260" s="4" t="s">
        <v>20</v>
      </c>
      <c r="E260" s="4">
        <v>1</v>
      </c>
      <c r="F260" s="5" t="s">
        <v>574</v>
      </c>
      <c r="G260" s="6" t="s">
        <v>613</v>
      </c>
      <c r="H260" s="4">
        <f t="shared" ref="H260:H261" si="49">A261</f>
        <v>260</v>
      </c>
      <c r="K260" s="4"/>
      <c r="L260" s="4"/>
    </row>
    <row r="261" spans="1:12" ht="90" x14ac:dyDescent="0.25">
      <c r="A261" s="2">
        <f>IF(BD_Versos[[#This Row],[Tema_Principal]]="","",ROW(BD_Versos[[#This Row],[Tema_Principal]])-1)</f>
        <v>260</v>
      </c>
      <c r="B261" s="3" t="s">
        <v>347</v>
      </c>
      <c r="C261" s="2" t="s">
        <v>573</v>
      </c>
      <c r="D261" s="4" t="s">
        <v>94</v>
      </c>
      <c r="E261" s="4">
        <v>1</v>
      </c>
      <c r="F261" s="5" t="s">
        <v>298</v>
      </c>
      <c r="G261" s="6" t="s">
        <v>614</v>
      </c>
      <c r="H261" s="4">
        <f t="shared" si="49"/>
        <v>261</v>
      </c>
      <c r="I261" s="4">
        <f t="shared" ref="I261:I262" si="50">A260</f>
        <v>259</v>
      </c>
      <c r="K261" s="4"/>
      <c r="L261" s="4"/>
    </row>
    <row r="262" spans="1:12" ht="60" x14ac:dyDescent="0.25">
      <c r="A262" s="2">
        <f>IF(BD_Versos[[#This Row],[Tema_Principal]]="","",ROW(BD_Versos[[#This Row],[Tema_Principal]])-1)</f>
        <v>261</v>
      </c>
      <c r="B262" s="3" t="s">
        <v>347</v>
      </c>
      <c r="C262" s="2" t="s">
        <v>573</v>
      </c>
      <c r="D262" s="4" t="s">
        <v>23</v>
      </c>
      <c r="E262" s="4">
        <v>1</v>
      </c>
      <c r="F262" s="5" t="s">
        <v>118</v>
      </c>
      <c r="G262" s="6" t="s">
        <v>598</v>
      </c>
      <c r="I262" s="4">
        <f t="shared" si="50"/>
        <v>260</v>
      </c>
      <c r="K262" s="4"/>
      <c r="L262" s="4"/>
    </row>
    <row r="263" spans="1:12" ht="45" x14ac:dyDescent="0.25">
      <c r="A263" s="2">
        <f>IF(BD_Versos[[#This Row],[Tema_Principal]]="","",ROW(BD_Versos[[#This Row],[Tema_Principal]])-1)</f>
        <v>262</v>
      </c>
      <c r="B263" s="3" t="s">
        <v>347</v>
      </c>
      <c r="C263" s="2" t="s">
        <v>577</v>
      </c>
      <c r="D263" s="4" t="s">
        <v>23</v>
      </c>
      <c r="E263" s="4">
        <v>2</v>
      </c>
      <c r="F263" s="5" t="s">
        <v>118</v>
      </c>
      <c r="G263" s="6" t="s">
        <v>615</v>
      </c>
      <c r="H263" s="4">
        <f t="shared" ref="H263:H267" si="51">A264</f>
        <v>263</v>
      </c>
      <c r="K263" s="4"/>
      <c r="L263" s="4"/>
    </row>
    <row r="264" spans="1:12" ht="60" x14ac:dyDescent="0.25">
      <c r="A264" s="2">
        <f>IF(BD_Versos[[#This Row],[Tema_Principal]]="","",ROW(BD_Versos[[#This Row],[Tema_Principal]])-1)</f>
        <v>263</v>
      </c>
      <c r="B264" s="3" t="s">
        <v>347</v>
      </c>
      <c r="C264" s="2" t="s">
        <v>577</v>
      </c>
      <c r="D264" s="4" t="s">
        <v>23</v>
      </c>
      <c r="E264" s="4">
        <v>1</v>
      </c>
      <c r="F264" s="5" t="s">
        <v>119</v>
      </c>
      <c r="G264" s="6" t="s">
        <v>616</v>
      </c>
      <c r="H264" s="4">
        <f t="shared" si="51"/>
        <v>264</v>
      </c>
      <c r="I264" s="4">
        <f t="shared" ref="I264:I268" si="52">A263</f>
        <v>262</v>
      </c>
      <c r="K264" s="4"/>
      <c r="L264" s="4"/>
    </row>
    <row r="265" spans="1:12" ht="45" x14ac:dyDescent="0.25">
      <c r="A265" s="2">
        <f>IF(BD_Versos[[#This Row],[Tema_Principal]]="","",ROW(BD_Versos[[#This Row],[Tema_Principal]])-1)</f>
        <v>264</v>
      </c>
      <c r="B265" s="3" t="s">
        <v>347</v>
      </c>
      <c r="C265" s="2" t="s">
        <v>577</v>
      </c>
      <c r="D265" s="4" t="s">
        <v>100</v>
      </c>
      <c r="E265" s="4">
        <v>1</v>
      </c>
      <c r="F265" s="5" t="s">
        <v>138</v>
      </c>
      <c r="G265" s="6" t="s">
        <v>617</v>
      </c>
      <c r="H265" s="4">
        <f t="shared" si="51"/>
        <v>265</v>
      </c>
      <c r="I265" s="4">
        <f t="shared" si="52"/>
        <v>263</v>
      </c>
      <c r="K265" s="4"/>
      <c r="L265" s="4"/>
    </row>
    <row r="266" spans="1:12" ht="60" x14ac:dyDescent="0.25">
      <c r="A266" s="2">
        <f>IF(BD_Versos[[#This Row],[Tema_Principal]]="","",ROW(BD_Versos[[#This Row],[Tema_Principal]])-1)</f>
        <v>265</v>
      </c>
      <c r="B266" s="3" t="s">
        <v>347</v>
      </c>
      <c r="C266" s="2" t="s">
        <v>577</v>
      </c>
      <c r="D266" s="4" t="s">
        <v>100</v>
      </c>
      <c r="E266" s="4">
        <v>4</v>
      </c>
      <c r="F266" s="5" t="s">
        <v>34</v>
      </c>
      <c r="G266" s="6" t="s">
        <v>618</v>
      </c>
      <c r="H266" s="4">
        <f t="shared" si="51"/>
        <v>266</v>
      </c>
      <c r="I266" s="4">
        <f t="shared" si="52"/>
        <v>264</v>
      </c>
      <c r="K266" s="4"/>
      <c r="L266" s="4"/>
    </row>
    <row r="267" spans="1:12" ht="75" x14ac:dyDescent="0.25">
      <c r="A267" s="2">
        <f>IF(BD_Versos[[#This Row],[Tema_Principal]]="","",ROW(BD_Versos[[#This Row],[Tema_Principal]])-1)</f>
        <v>266</v>
      </c>
      <c r="B267" s="3" t="s">
        <v>347</v>
      </c>
      <c r="C267" s="2" t="s">
        <v>577</v>
      </c>
      <c r="D267" s="4" t="s">
        <v>42</v>
      </c>
      <c r="E267" s="4">
        <v>14</v>
      </c>
      <c r="F267" s="5" t="s">
        <v>34</v>
      </c>
      <c r="G267" s="6" t="s">
        <v>619</v>
      </c>
      <c r="H267" s="4">
        <f t="shared" si="51"/>
        <v>267</v>
      </c>
      <c r="I267" s="4">
        <f t="shared" si="52"/>
        <v>265</v>
      </c>
      <c r="K267" s="4"/>
      <c r="L267" s="4"/>
    </row>
    <row r="268" spans="1:12" ht="30" x14ac:dyDescent="0.25">
      <c r="A268" s="2">
        <f>IF(BD_Versos[[#This Row],[Tema_Principal]]="","",ROW(BD_Versos[[#This Row],[Tema_Principal]])-1)</f>
        <v>267</v>
      </c>
      <c r="B268" s="3" t="s">
        <v>347</v>
      </c>
      <c r="C268" s="2" t="s">
        <v>577</v>
      </c>
      <c r="D268" s="4" t="s">
        <v>30</v>
      </c>
      <c r="E268" s="4">
        <v>16</v>
      </c>
      <c r="F268" s="5" t="s">
        <v>124</v>
      </c>
      <c r="G268" s="6" t="s">
        <v>620</v>
      </c>
      <c r="I268" s="4">
        <f t="shared" si="52"/>
        <v>266</v>
      </c>
      <c r="K268" s="4"/>
      <c r="L268" s="4"/>
    </row>
    <row r="269" spans="1:12" ht="30" x14ac:dyDescent="0.25">
      <c r="A269" s="2">
        <f>IF(BD_Versos[[#This Row],[Tema_Principal]]="","",ROW(BD_Versos[[#This Row],[Tema_Principal]])-1)</f>
        <v>268</v>
      </c>
      <c r="B269" s="3" t="s">
        <v>347</v>
      </c>
      <c r="C269" s="2" t="s">
        <v>576</v>
      </c>
      <c r="D269" s="4" t="s">
        <v>30</v>
      </c>
      <c r="E269" s="4">
        <v>16</v>
      </c>
      <c r="F269" s="5" t="s">
        <v>31</v>
      </c>
      <c r="G269" s="6" t="s">
        <v>621</v>
      </c>
      <c r="H269" s="4">
        <f t="shared" ref="H269:H274" si="53">A270</f>
        <v>269</v>
      </c>
      <c r="K269" s="4"/>
      <c r="L269" s="4"/>
    </row>
    <row r="270" spans="1:12" ht="30" x14ac:dyDescent="0.25">
      <c r="A270" s="2">
        <f>IF(BD_Versos[[#This Row],[Tema_Principal]]="","",ROW(BD_Versos[[#This Row],[Tema_Principal]])-1)</f>
        <v>269</v>
      </c>
      <c r="B270" s="3" t="s">
        <v>347</v>
      </c>
      <c r="C270" s="2" t="s">
        <v>576</v>
      </c>
      <c r="D270" s="4" t="s">
        <v>96</v>
      </c>
      <c r="E270" s="4">
        <v>1</v>
      </c>
      <c r="F270" s="5" t="s">
        <v>37</v>
      </c>
      <c r="G270" s="6" t="s">
        <v>622</v>
      </c>
      <c r="H270" s="4">
        <f>A272</f>
        <v>271</v>
      </c>
      <c r="I270" s="4">
        <f t="shared" ref="I270:I274" si="54">A269</f>
        <v>268</v>
      </c>
      <c r="K270" s="4"/>
      <c r="L270" s="4"/>
    </row>
    <row r="271" spans="1:12" ht="45" x14ac:dyDescent="0.25">
      <c r="A271" s="2">
        <f>IF(BD_Versos[[#This Row],[Tema_Principal]]="","",ROW(BD_Versos[[#This Row],[Tema_Principal]])-1)</f>
        <v>270</v>
      </c>
      <c r="B271" s="3" t="s">
        <v>347</v>
      </c>
      <c r="C271" s="2" t="s">
        <v>576</v>
      </c>
      <c r="D271" s="4" t="s">
        <v>95</v>
      </c>
      <c r="E271" s="4">
        <v>3</v>
      </c>
      <c r="F271" s="5" t="s">
        <v>49</v>
      </c>
      <c r="G271" s="6" t="str" cm="1">
        <f t="array" ref="G271">IF(OR(BD_Versos[[#This Row],[Libro]]="",BD_Versos[[#This Row],[Capítulo]]="",BD_Versos[[#This Row],[Versículo]]=""),"",ExtraerPasaje(_xlfn.CONCAT(BD_Versos[[#This Row],[Libro]],BD_Versos[[#This Row],[Capítulo]],":",BD_Versos[[#This Row],[Versículo]])))</f>
        <v xml:space="preserve">_x000D_ _x000D_ 2 y enviamos a Timoteo(A), nuestro hermano y colaborador de Dios[a] en el evangelio de Cristo, para fortaleceros y alentaros respecto a vuestra fe; _x000D_ </v>
      </c>
      <c r="K271" s="4"/>
      <c r="L271" s="4"/>
    </row>
    <row r="272" spans="1:12" ht="60" x14ac:dyDescent="0.25">
      <c r="A272" s="2">
        <f>IF(BD_Versos[[#This Row],[Tema_Principal]]="","",ROW(BD_Versos[[#This Row],[Tema_Principal]])-1)</f>
        <v>271</v>
      </c>
      <c r="B272" s="3" t="s">
        <v>347</v>
      </c>
      <c r="C272" s="2" t="s">
        <v>576</v>
      </c>
      <c r="D272" s="4" t="s">
        <v>39</v>
      </c>
      <c r="E272" s="4">
        <v>3</v>
      </c>
      <c r="F272" s="5" t="s">
        <v>118</v>
      </c>
      <c r="G272" s="6" t="s">
        <v>561</v>
      </c>
      <c r="H272" s="4">
        <f t="shared" si="53"/>
        <v>272</v>
      </c>
      <c r="I272" s="4">
        <f>A270</f>
        <v>269</v>
      </c>
      <c r="K272" s="4"/>
      <c r="L272" s="4"/>
    </row>
    <row r="273" spans="1:12" ht="45" x14ac:dyDescent="0.25">
      <c r="A273" s="2">
        <f>IF(BD_Versos[[#This Row],[Tema_Principal]]="","",ROW(BD_Versos[[#This Row],[Tema_Principal]])-1)</f>
        <v>272</v>
      </c>
      <c r="B273" s="3" t="s">
        <v>347</v>
      </c>
      <c r="C273" s="2" t="s">
        <v>576</v>
      </c>
      <c r="D273" s="4" t="s">
        <v>578</v>
      </c>
      <c r="E273" s="4">
        <v>1</v>
      </c>
      <c r="F273" s="5" t="s">
        <v>113</v>
      </c>
      <c r="G273" s="6" t="s">
        <v>623</v>
      </c>
      <c r="H273" s="4">
        <f t="shared" si="53"/>
        <v>273</v>
      </c>
      <c r="I273" s="4">
        <f t="shared" si="54"/>
        <v>271</v>
      </c>
      <c r="K273" s="4"/>
      <c r="L273" s="4"/>
    </row>
    <row r="274" spans="1:12" ht="90" x14ac:dyDescent="0.25">
      <c r="A274" s="2">
        <f>IF(BD_Versos[[#This Row],[Tema_Principal]]="","",ROW(BD_Versos[[#This Row],[Tema_Principal]])-1)</f>
        <v>273</v>
      </c>
      <c r="B274" s="3" t="s">
        <v>347</v>
      </c>
      <c r="C274" s="2" t="s">
        <v>576</v>
      </c>
      <c r="D274" s="4" t="s">
        <v>100</v>
      </c>
      <c r="E274" s="4">
        <v>1</v>
      </c>
      <c r="F274" s="5" t="s">
        <v>110</v>
      </c>
      <c r="G274" s="6" t="s">
        <v>624</v>
      </c>
      <c r="H274" s="4">
        <f t="shared" si="53"/>
        <v>274</v>
      </c>
      <c r="I274" s="4">
        <f t="shared" si="54"/>
        <v>272</v>
      </c>
      <c r="K274" s="4"/>
      <c r="L274" s="4"/>
    </row>
    <row r="275" spans="1:12" ht="135" x14ac:dyDescent="0.25">
      <c r="A275" s="2">
        <f>IF(BD_Versos[[#This Row],[Tema_Principal]]="","",ROW(BD_Versos[[#This Row],[Tema_Principal]])-1)</f>
        <v>274</v>
      </c>
      <c r="B275" s="3" t="s">
        <v>347</v>
      </c>
      <c r="C275" s="2" t="s">
        <v>576</v>
      </c>
      <c r="D275" s="4" t="s">
        <v>36</v>
      </c>
      <c r="E275" s="4">
        <v>5</v>
      </c>
      <c r="F275" s="5" t="s">
        <v>581</v>
      </c>
      <c r="G275" s="6" t="s">
        <v>625</v>
      </c>
      <c r="H275" s="4">
        <f t="shared" ref="H275" si="55">A276</f>
        <v>275</v>
      </c>
      <c r="I275" s="4">
        <f t="shared" ref="I275:I276" si="56">A274</f>
        <v>273</v>
      </c>
      <c r="K275" s="4"/>
      <c r="L275" s="4"/>
    </row>
    <row r="276" spans="1:12" ht="45" x14ac:dyDescent="0.25">
      <c r="A276" s="2">
        <f>IF(BD_Versos[[#This Row],[Tema_Principal]]="","",ROW(BD_Versos[[#This Row],[Tema_Principal]])-1)</f>
        <v>275</v>
      </c>
      <c r="B276" s="3" t="s">
        <v>347</v>
      </c>
      <c r="C276" s="2" t="s">
        <v>576</v>
      </c>
      <c r="D276" s="4" t="s">
        <v>92</v>
      </c>
      <c r="E276" s="4">
        <v>10</v>
      </c>
      <c r="F276" s="5" t="s">
        <v>31</v>
      </c>
      <c r="G276" s="6" t="str" cm="1">
        <f t="array" ref="G276">IF(OR(BD_Versos[[#This Row],[Libro]]="",BD_Versos[[#This Row],[Capítulo]]="",BD_Versos[[#This Row],[Versículo]]=""),"",ExtraerPasaje(_xlfn.CONCAT(BD_Versos[[#This Row],[Libro]],BD_Versos[[#This Row],[Capítulo]],":",BD_Versos[[#This Row],[Versículo]])))</f>
        <v xml:space="preserve">_x000D_ _x000D_ 15 ¿Y cómo predicarán si no son enviados? Tal como está escrito: ¡Cuan hermosos son los pies[a] de los que anuncian el evangelio del bien[b](A)!_x000D_ </v>
      </c>
      <c r="I276" s="4">
        <f t="shared" si="56"/>
        <v>274</v>
      </c>
      <c r="K276" s="4"/>
      <c r="L276" s="4"/>
    </row>
    <row r="277" spans="1:12" ht="60" customHeight="1" x14ac:dyDescent="0.25">
      <c r="A277" s="2">
        <f>IF(BD_Versos[[#This Row],[Tema_Principal]]="","",ROW(BD_Versos[[#This Row],[Tema_Principal]])-1)</f>
        <v>276</v>
      </c>
      <c r="B277" s="3" t="s">
        <v>347</v>
      </c>
      <c r="C277" s="14" t="s">
        <v>582</v>
      </c>
      <c r="D277" s="4" t="s">
        <v>92</v>
      </c>
      <c r="E277" s="4">
        <v>15</v>
      </c>
      <c r="F277" s="5" t="s">
        <v>117</v>
      </c>
      <c r="G277" s="6" t="s">
        <v>553</v>
      </c>
      <c r="K277" s="4"/>
      <c r="L277" s="4"/>
    </row>
    <row r="278" spans="1:12" ht="105" x14ac:dyDescent="0.25">
      <c r="A278" s="2">
        <f>IF(BD_Versos[[#This Row],[Tema_Principal]]="","",ROW(BD_Versos[[#This Row],[Tema_Principal]])-1)</f>
        <v>277</v>
      </c>
      <c r="B278" s="3" t="s">
        <v>347</v>
      </c>
      <c r="C278" s="2" t="s">
        <v>583</v>
      </c>
      <c r="D278" s="4" t="s">
        <v>290</v>
      </c>
      <c r="E278" s="4">
        <v>61</v>
      </c>
      <c r="F278" s="5" t="s">
        <v>28</v>
      </c>
      <c r="G278" s="6" t="s">
        <v>631</v>
      </c>
      <c r="K278" s="4"/>
      <c r="L278" s="4"/>
    </row>
    <row r="279" spans="1:12" ht="105" x14ac:dyDescent="0.25">
      <c r="A279" s="2">
        <f>IF(BD_Versos[[#This Row],[Tema_Principal]]="","",ROW(BD_Versos[[#This Row],[Tema_Principal]])-1)</f>
        <v>278</v>
      </c>
      <c r="B279" s="3" t="s">
        <v>347</v>
      </c>
      <c r="C279" s="2" t="s">
        <v>583</v>
      </c>
      <c r="D279" s="4" t="s">
        <v>33</v>
      </c>
      <c r="E279" s="4">
        <v>2</v>
      </c>
      <c r="F279" s="5" t="s">
        <v>584</v>
      </c>
      <c r="G279" s="6" t="s">
        <v>632</v>
      </c>
      <c r="K279" s="4"/>
      <c r="L279" s="4"/>
    </row>
    <row r="280" spans="1:12" ht="30" x14ac:dyDescent="0.25">
      <c r="A280" s="2">
        <f>IF(BD_Versos[[#This Row],[Tema_Principal]]="","",ROW(BD_Versos[[#This Row],[Tema_Principal]])-1)</f>
        <v>279</v>
      </c>
      <c r="B280" s="3" t="s">
        <v>347</v>
      </c>
      <c r="C280" s="2" t="s">
        <v>583</v>
      </c>
      <c r="D280" s="4" t="s">
        <v>72</v>
      </c>
      <c r="E280" s="4">
        <v>25</v>
      </c>
      <c r="F280" s="5" t="s">
        <v>138</v>
      </c>
      <c r="G280" s="6" t="str" cm="1">
        <f t="array" ref="G280">IF(OR(BD_Versos[[#This Row],[Libro]]="",BD_Versos[[#This Row],[Capítulo]]="",BD_Versos[[#This Row],[Versículo]]=""),"",ExtraerPasaje(_xlfn.CONCAT(BD_Versos[[#This Row],[Libro]],BD_Versos[[#This Row],[Capítulo]],":",BD_Versos[[#This Row],[Versículo]])))</f>
        <v xml:space="preserve">_x000D_ _x000D_ _x000D_ 25 Como agua fría para el alma sedienta,_x000D_ así son las buenas nuevas de una tierra lejana(A)._x000D_ </v>
      </c>
      <c r="K280" s="4"/>
      <c r="L280" s="4"/>
    </row>
    <row r="281" spans="1:12" ht="90" x14ac:dyDescent="0.25">
      <c r="A281" s="2">
        <f>IF(BD_Versos[[#This Row],[Tema_Principal]]="","",ROW(BD_Versos[[#This Row],[Tema_Principal]])-1)</f>
        <v>280</v>
      </c>
      <c r="B281" s="3" t="s">
        <v>347</v>
      </c>
      <c r="C281" s="2" t="s">
        <v>583</v>
      </c>
      <c r="D281" s="4" t="s">
        <v>633</v>
      </c>
      <c r="E281" s="4">
        <v>1</v>
      </c>
      <c r="F281" s="5" t="s">
        <v>31</v>
      </c>
      <c r="G281" s="6" t="str" cm="1">
        <f t="array" ref="G281">IF(OR(BD_Versos[[#This Row],[Libro]]="",BD_Versos[[#This Row],[Capítulo]]="",BD_Versos[[#This Row],[Versículo]]=""),"",ExtraerPasaje(_xlfn.CONCAT(BD_Versos[[#This Row],[Libro]],BD_Versos[[#This Row],[Capítulo]],":",BD_Versos[[#This Row],[Versículo]])))</f>
        <v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v>
      </c>
      <c r="K281" s="4"/>
      <c r="L281" s="4"/>
    </row>
    <row r="282" spans="1:12" ht="150" x14ac:dyDescent="0.25">
      <c r="A282" s="2">
        <f>IF(BD_Versos[[#This Row],[Tema_Principal]]="","",ROW(BD_Versos[[#This Row],[Tema_Principal]])-1)</f>
        <v>281</v>
      </c>
      <c r="B282" s="3" t="s">
        <v>347</v>
      </c>
      <c r="C282" s="2" t="s">
        <v>583</v>
      </c>
      <c r="D282" s="4" t="s">
        <v>33</v>
      </c>
      <c r="E282" s="4">
        <v>3</v>
      </c>
      <c r="F282" s="5" t="s">
        <v>634</v>
      </c>
      <c r="G282" s="6" t="str" cm="1">
        <f t="array" ref="G282">IF(OR(BD_Versos[[#This Row],[Libro]]="",BD_Versos[[#This Row],[Capítulo]]="",BD_Versos[[#This Row],[Versículo]]=""),"",ExtraerPasaje(_xlfn.CONCAT(BD_Versos[[#This Row],[Libro]],BD_Versos[[#This Row],[Capítulo]],":",BD_Versos[[#This Row],[Versículo]])))</f>
        <v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v>
      </c>
      <c r="K282" s="4"/>
      <c r="L282" s="4"/>
    </row>
    <row r="283" spans="1:12" ht="75" x14ac:dyDescent="0.25">
      <c r="A283" s="2">
        <f>IF(BD_Versos[[#This Row],[Tema_Principal]]="","",ROW(BD_Versos[[#This Row],[Tema_Principal]])-1)</f>
        <v>282</v>
      </c>
      <c r="B283" s="3" t="s">
        <v>347</v>
      </c>
      <c r="C283" s="14" t="s">
        <v>565</v>
      </c>
      <c r="D283" s="4" t="s">
        <v>92</v>
      </c>
      <c r="E283" s="4">
        <v>16</v>
      </c>
      <c r="F283" s="5" t="s">
        <v>138</v>
      </c>
      <c r="G283" s="6" t="s">
        <v>626</v>
      </c>
      <c r="H283" s="4">
        <f t="shared" ref="H283" si="57">A284</f>
        <v>283</v>
      </c>
      <c r="K283" s="4"/>
      <c r="L283" s="4"/>
    </row>
    <row r="284" spans="1:12" ht="75" x14ac:dyDescent="0.25">
      <c r="A284" s="2">
        <f>IF(BD_Versos[[#This Row],[Tema_Principal]]="","",ROW(BD_Versos[[#This Row],[Tema_Principal]])-1)</f>
        <v>283</v>
      </c>
      <c r="B284" s="3" t="s">
        <v>347</v>
      </c>
      <c r="C284" s="14" t="s">
        <v>565</v>
      </c>
      <c r="D284" s="4" t="s">
        <v>95</v>
      </c>
      <c r="E284" s="4">
        <v>2</v>
      </c>
      <c r="F284" s="5" t="s">
        <v>122</v>
      </c>
      <c r="G284" s="6" t="s">
        <v>627</v>
      </c>
      <c r="I284" s="4">
        <f t="shared" ref="I284" si="58">A283</f>
        <v>282</v>
      </c>
      <c r="K284" s="4"/>
      <c r="L284" s="4"/>
    </row>
    <row r="285" spans="1:12" ht="45" x14ac:dyDescent="0.25">
      <c r="A285" s="2">
        <f>IF(BD_Versos[[#This Row],[Tema_Principal]]="","",ROW(BD_Versos[[#This Row],[Tema_Principal]])-1)</f>
        <v>284</v>
      </c>
      <c r="B285" s="3" t="s">
        <v>347</v>
      </c>
      <c r="C285" s="2" t="s">
        <v>580</v>
      </c>
      <c r="D285" s="4" t="s">
        <v>50</v>
      </c>
      <c r="E285" s="4">
        <v>24</v>
      </c>
      <c r="F285" s="5" t="s">
        <v>47</v>
      </c>
      <c r="G285" s="6" t="s">
        <v>630</v>
      </c>
      <c r="K285" s="4"/>
      <c r="L285" s="4"/>
    </row>
    <row r="286" spans="1:12" ht="60" x14ac:dyDescent="0.25">
      <c r="A286" s="2">
        <f>IF(BD_Versos[[#This Row],[Tema_Principal]]="","",ROW(BD_Versos[[#This Row],[Tema_Principal]])-1)</f>
        <v>285</v>
      </c>
      <c r="B286" s="3" t="s">
        <v>347</v>
      </c>
      <c r="C286" s="2" t="s">
        <v>541</v>
      </c>
      <c r="D286" s="4" t="s">
        <v>18</v>
      </c>
      <c r="E286" s="4">
        <v>1</v>
      </c>
      <c r="F286" s="5" t="s">
        <v>34</v>
      </c>
      <c r="G286" s="6" t="s">
        <v>564</v>
      </c>
      <c r="H286" s="4">
        <f>A287</f>
        <v>286</v>
      </c>
      <c r="K286" s="4"/>
      <c r="L286" s="4"/>
    </row>
    <row r="287" spans="1:12" ht="45" x14ac:dyDescent="0.25">
      <c r="A287" s="2">
        <f>IF(BD_Versos[[#This Row],[Tema_Principal]]="","",ROW(BD_Versos[[#This Row],[Tema_Principal]])-1)</f>
        <v>286</v>
      </c>
      <c r="B287" s="3" t="s">
        <v>347</v>
      </c>
      <c r="C287" s="2" t="s">
        <v>541</v>
      </c>
      <c r="D287" s="4" t="s">
        <v>18</v>
      </c>
      <c r="E287" s="4">
        <v>1</v>
      </c>
      <c r="F287" s="5" t="s">
        <v>43</v>
      </c>
      <c r="G287" s="6" t="s">
        <v>591</v>
      </c>
      <c r="H287" s="4">
        <f>A288</f>
        <v>287</v>
      </c>
      <c r="I287" s="4">
        <f>A286</f>
        <v>285</v>
      </c>
      <c r="K287" s="4"/>
      <c r="L287" s="4"/>
    </row>
    <row r="288" spans="1:12" ht="90" x14ac:dyDescent="0.25">
      <c r="A288" s="2">
        <f>IF(BD_Versos[[#This Row],[Tema_Principal]]="","",ROW(BD_Versos[[#This Row],[Tema_Principal]])-1)</f>
        <v>287</v>
      </c>
      <c r="B288" s="3" t="s">
        <v>347</v>
      </c>
      <c r="C288" s="2" t="s">
        <v>541</v>
      </c>
      <c r="D288" s="4" t="s">
        <v>18</v>
      </c>
      <c r="E288" s="4">
        <v>1</v>
      </c>
      <c r="F288" s="5" t="s">
        <v>569</v>
      </c>
      <c r="G288" s="6" t="s">
        <v>592</v>
      </c>
      <c r="H288" s="4">
        <f>A289</f>
        <v>288</v>
      </c>
      <c r="I288" s="4">
        <f>A287</f>
        <v>286</v>
      </c>
      <c r="K288" s="4"/>
      <c r="L288" s="4"/>
    </row>
    <row r="289" spans="1:12" ht="75" x14ac:dyDescent="0.25">
      <c r="A289" s="2">
        <f>IF(BD_Versos[[#This Row],[Tema_Principal]]="","",ROW(BD_Versos[[#This Row],[Tema_Principal]])-1)</f>
        <v>288</v>
      </c>
      <c r="B289" s="3" t="s">
        <v>347</v>
      </c>
      <c r="C289" s="2" t="s">
        <v>541</v>
      </c>
      <c r="D289" s="4" t="s">
        <v>36</v>
      </c>
      <c r="E289" s="4">
        <v>11</v>
      </c>
      <c r="F289" s="5" t="s">
        <v>122</v>
      </c>
      <c r="G289" s="6" t="s">
        <v>593</v>
      </c>
      <c r="I289" s="4">
        <f>A288</f>
        <v>287</v>
      </c>
      <c r="K289" s="4"/>
      <c r="L289" s="4"/>
    </row>
    <row r="290" spans="1:12" ht="49.5" customHeight="1" x14ac:dyDescent="0.25">
      <c r="A290" s="2">
        <f>IF(BD_Versos[[#This Row],[Tema_Principal]]="","",ROW(BD_Versos[[#This Row],[Tema_Principal]])-1)</f>
        <v>289</v>
      </c>
      <c r="B290" s="3" t="s">
        <v>642</v>
      </c>
      <c r="C290" s="2" t="s">
        <v>641</v>
      </c>
      <c r="D290" s="4" t="s">
        <v>639</v>
      </c>
      <c r="E290" s="4">
        <v>1</v>
      </c>
      <c r="F290" s="5" t="s">
        <v>41</v>
      </c>
      <c r="G290" s="6" t="str" cm="1">
        <f t="array" ref="G290">IF(OR(BD_Versos[[#This Row],[Libro]]="",BD_Versos[[#This Row],[Capítulo]]="",BD_Versos[[#This Row],[Versículo]]=""),"",ExtraerPasaje(_xlfn.CONCAT(BD_Versos[[#This Row],[Libro]],BD_Versos[[#This Row],[Capítulo]],":",BD_Versos[[#This Row],[Versículo]])))</f>
        <v xml:space="preserve">_x000D_ _x000D_ 9 ¿No te lo he ordenado yo? ¡Sé fuerte y valiente(A)! No temas ni te acobardes, porque el Señor tu Dios estará contigo dondequiera que vayas(B)._x000D_ </v>
      </c>
      <c r="H290" s="4">
        <f>A291</f>
        <v>290</v>
      </c>
      <c r="K290" s="4"/>
      <c r="L290" s="4"/>
    </row>
    <row r="291" spans="1:12" ht="80.25" customHeight="1" x14ac:dyDescent="0.25">
      <c r="A291" s="2">
        <f>IF(BD_Versos[[#This Row],[Tema_Principal]]="","",ROW(BD_Versos[[#This Row],[Tema_Principal]])-1)</f>
        <v>290</v>
      </c>
      <c r="B291" s="3" t="s">
        <v>642</v>
      </c>
      <c r="C291" s="2" t="s">
        <v>641</v>
      </c>
      <c r="D291" s="4" t="s">
        <v>290</v>
      </c>
      <c r="E291" s="4">
        <v>41</v>
      </c>
      <c r="F291" s="5" t="s">
        <v>119</v>
      </c>
      <c r="G291" s="6" t="str" cm="1">
        <f t="array" ref="G291">IF(OR(BD_Versos[[#This Row],[Libro]]="",BD_Versos[[#This Row],[Capítulo]]="",BD_Versos[[#This Row],[Versículo]]=""),"",ExtraerPasaje(_xlfn.CONCAT(BD_Versos[[#This Row],[Libro]],BD_Versos[[#This Row],[Capítulo]],":",BD_Versos[[#This Row],[Versículo]])))</f>
        <v xml:space="preserve">_x000D_ _x000D_ _x000D_ 10 No temas, porque yo estoy contigo(A);_x000D_ no te desalientes[a], porque yo soy tu Dios._x000D_ Te fortaleceré, ciertamente te ayudaré(B),_x000D_ sí, te sostendré con la diestra de mi justicia(C)._x000D_ </v>
      </c>
      <c r="H291" s="4">
        <f>A292</f>
        <v>291</v>
      </c>
      <c r="I291" s="4">
        <f>A290</f>
        <v>289</v>
      </c>
      <c r="K291" s="4"/>
      <c r="L291" s="4"/>
    </row>
    <row r="292" spans="1:12" ht="60" x14ac:dyDescent="0.25">
      <c r="A292" s="2">
        <f>IF(BD_Versos[[#This Row],[Tema_Principal]]="","",ROW(BD_Versos[[#This Row],[Tema_Principal]])-1)</f>
        <v>291</v>
      </c>
      <c r="B292" s="3" t="s">
        <v>642</v>
      </c>
      <c r="C292" s="2" t="s">
        <v>643</v>
      </c>
      <c r="D292" s="4" t="s">
        <v>72</v>
      </c>
      <c r="E292" s="4">
        <v>3</v>
      </c>
      <c r="F292" s="5" t="s">
        <v>640</v>
      </c>
      <c r="G292" s="6" t="str" cm="1">
        <f t="array" ref="G292">IF(OR(BD_Versos[[#This Row],[Libro]]="",BD_Versos[[#This Row],[Capítulo]]="",BD_Versos[[#This Row],[Versículo]]=""),"",ExtraerPasaje(_xlfn.CONCAT(BD_Versos[[#This Row],[Libro]],BD_Versos[[#This Row],[Capítulo]],":",BD_Versos[[#This Row],[Versículo]])))</f>
        <v xml:space="preserve">_x000D_ _x000D_ _x000D_ 5 Confía en el Señor(A) con todo tu corazón,_x000D_ y no te apoyes en tu propio entendimiento(B)._x000D_ 6 Reconócele(C) en todos tus caminos,_x000D_ y Él enderezará tus sendas(D)._x000D_ </v>
      </c>
      <c r="H292" s="4">
        <f>A293</f>
        <v>292</v>
      </c>
      <c r="I292" s="4">
        <f>A291</f>
        <v>290</v>
      </c>
      <c r="K292" s="4"/>
      <c r="L292" s="4"/>
    </row>
    <row r="293" spans="1:12" ht="75" x14ac:dyDescent="0.25">
      <c r="A293" s="2">
        <f>IF(BD_Versos[[#This Row],[Tema_Principal]]="","",ROW(BD_Versos[[#This Row],[Tema_Principal]])-1)</f>
        <v>292</v>
      </c>
      <c r="B293" s="3" t="s">
        <v>642</v>
      </c>
      <c r="C293" s="2" t="s">
        <v>643</v>
      </c>
      <c r="D293" s="4" t="s">
        <v>100</v>
      </c>
      <c r="E293" s="4">
        <v>5</v>
      </c>
      <c r="F293" s="5" t="s">
        <v>25</v>
      </c>
      <c r="G293" s="6" t="str" cm="1">
        <f t="array" ref="G293">IF(OR(BD_Versos[[#This Row],[Libro]]="",BD_Versos[[#This Row],[Capítulo]]="",BD_Versos[[#This Row],[Versículo]]=""),"",ExtraerPasaje(_xlfn.CONCAT(BD_Versos[[#This Row],[Libro]],BD_Versos[[#This Row],[Capítulo]],":",BD_Versos[[#This Row],[Versículo]])))</f>
        <v xml:space="preserve">_x000D_ _x000D_ 7 echando toda vuestra ansiedad sobre Él, porque Él tiene cuidado de vosotros(A). 8 Sed de espíritu sobrio(B), estad alerta(C). Vuestro adversario, el diablo(D), anda al acecho como león rugiente(E), buscando a quien devorar. _x000D_ </v>
      </c>
      <c r="H293" s="4">
        <f>A294</f>
        <v>293</v>
      </c>
      <c r="I293" s="4">
        <f>A292</f>
        <v>291</v>
      </c>
      <c r="K293" s="4"/>
      <c r="L293" s="4"/>
    </row>
    <row r="294" spans="1:12" ht="58.5" customHeight="1" x14ac:dyDescent="0.25">
      <c r="A294" s="2">
        <f>IF(BD_Versos[[#This Row],[Tema_Principal]]="","",ROW(BD_Versos[[#This Row],[Tema_Principal]])-1)</f>
        <v>293</v>
      </c>
      <c r="B294" s="3" t="s">
        <v>642</v>
      </c>
      <c r="C294" s="2" t="s">
        <v>644</v>
      </c>
      <c r="D294" s="4" t="s">
        <v>290</v>
      </c>
      <c r="E294" s="4">
        <v>54</v>
      </c>
      <c r="F294" s="5" t="s">
        <v>119</v>
      </c>
      <c r="G294" s="6" t="str" cm="1">
        <f t="array" ref="G294">IF(OR(BD_Versos[[#This Row],[Libro]]="",BD_Versos[[#This Row],[Capítulo]]="",BD_Versos[[#This Row],[Versículo]]=""),"",ExtraerPasaje(_xlfn.CONCAT(BD_Versos[[#This Row],[Libro]],BD_Versos[[#This Row],[Capítulo]],":",BD_Versos[[#This Row],[Versículo]])))</f>
        <v xml:space="preserve">_x000D_ _x000D_ _x000D_ 10 Porque los montes serán quitados y las colinas temblarán(A),_x000D_ pero mi misericordia no se apartará de ti,_x000D_ y el pacto de mi paz no será quebrantado(B)_x000D_ —dice el Señor, que tiene compasión de ti(C)._x000D_ </v>
      </c>
      <c r="H294" s="4">
        <f>A295</f>
        <v>294</v>
      </c>
      <c r="I294" s="4">
        <f>A293</f>
        <v>292</v>
      </c>
      <c r="K294" s="4"/>
      <c r="L294" s="4"/>
    </row>
    <row r="295" spans="1:12" ht="47.25" customHeight="1" x14ac:dyDescent="0.25">
      <c r="A295" s="2">
        <f>IF(BD_Versos[[#This Row],[Tema_Principal]]="","",ROW(BD_Versos[[#This Row],[Tema_Principal]])-1)</f>
        <v>294</v>
      </c>
      <c r="B295" s="3" t="s">
        <v>642</v>
      </c>
      <c r="C295" s="2" t="s">
        <v>644</v>
      </c>
      <c r="D295" s="4" t="s">
        <v>71</v>
      </c>
      <c r="E295" s="4">
        <v>55</v>
      </c>
      <c r="F295" s="5" t="s">
        <v>114</v>
      </c>
      <c r="G295" s="6" t="str" cm="1">
        <f t="array" ref="G295">IF(OR(BD_Versos[[#This Row],[Libro]]="",BD_Versos[[#This Row],[Capítulo]]="",BD_Versos[[#This Row],[Versículo]]=""),"",ExtraerPasaje(_xlfn.CONCAT(BD_Versos[[#This Row],[Libro]],BD_Versos[[#This Row],[Capítulo]],":",BD_Versos[[#This Row],[Versículo]])))</f>
        <v xml:space="preserve">_x000D_ _x000D_ _x000D_ 22 Echa sobre el Señor tu carga[a], y Él te sustentará(A);_x000D_ Él nunca permitirá que el justo sea sacudido[b](B)._x000D_ </v>
      </c>
      <c r="H295" s="4" t="str">
        <f>A296</f>
        <v/>
      </c>
      <c r="I295" s="4">
        <f>A294</f>
        <v>293</v>
      </c>
      <c r="K295" s="4"/>
      <c r="L295" s="4"/>
    </row>
    <row r="296" spans="1:12" x14ac:dyDescent="0.25">
      <c r="A296" s="2" t="str">
        <f>IF(BD_Versos[[#This Row],[Tema_Principal]]="","",ROW(BD_Versos[[#This Row],[Tema_Principal]])-1)</f>
        <v/>
      </c>
      <c r="G296" s="6" t="str" cm="1">
        <f t="array" ref="G296">IF(OR(BD_Versos[[#This Row],[Libro]]="",BD_Versos[[#This Row],[Capítulo]]="",BD_Versos[[#This Row],[Versículo]]=""),"",ExtraerPasaje(_xlfn.CONCAT(BD_Versos[[#This Row],[Libro]],BD_Versos[[#This Row],[Capítulo]],":",BD_Versos[[#This Row],[Versículo]])))</f>
        <v/>
      </c>
      <c r="K296" s="4"/>
      <c r="L296" s="4"/>
    </row>
    <row r="297" spans="1:12" x14ac:dyDescent="0.25">
      <c r="A297" s="2" t="str">
        <f>IF(BD_Versos[[#This Row],[Tema_Principal]]="","",ROW(BD_Versos[[#This Row],[Tema_Principal]])-1)</f>
        <v/>
      </c>
      <c r="G297" s="6" t="str" cm="1">
        <f t="array" ref="G297">IF(OR(BD_Versos[[#This Row],[Libro]]="",BD_Versos[[#This Row],[Capítulo]]="",BD_Versos[[#This Row],[Versículo]]=""),"",ExtraerPasaje(_xlfn.CONCAT(BD_Versos[[#This Row],[Libro]],BD_Versos[[#This Row],[Capítulo]],":",BD_Versos[[#This Row],[Versículo]])))</f>
        <v/>
      </c>
      <c r="K297" s="4"/>
      <c r="L297" s="4"/>
    </row>
    <row r="298" spans="1:12" x14ac:dyDescent="0.25">
      <c r="A298" s="2" t="str">
        <f>IF(BD_Versos[[#This Row],[Tema_Principal]]="","",ROW(BD_Versos[[#This Row],[Tema_Principal]])-1)</f>
        <v/>
      </c>
      <c r="G298" s="6" t="str" cm="1">
        <f t="array" ref="G298">IF(OR(BD_Versos[[#This Row],[Libro]]="",BD_Versos[[#This Row],[Capítulo]]="",BD_Versos[[#This Row],[Versículo]]=""),"",ExtraerPasaje(_xlfn.CONCAT(BD_Versos[[#This Row],[Libro]],BD_Versos[[#This Row],[Capítulo]],":",BD_Versos[[#This Row],[Versículo]])))</f>
        <v/>
      </c>
      <c r="K298" s="4"/>
      <c r="L298" s="4"/>
    </row>
    <row r="299" spans="1:12" x14ac:dyDescent="0.25">
      <c r="A299" s="2" t="str">
        <f>IF(BD_Versos[[#This Row],[Tema_Principal]]="","",ROW(BD_Versos[[#This Row],[Tema_Principal]])-1)</f>
        <v/>
      </c>
      <c r="G299" s="6" t="str" cm="1">
        <f t="array" ref="G299">IF(OR(BD_Versos[[#This Row],[Libro]]="",BD_Versos[[#This Row],[Capítulo]]="",BD_Versos[[#This Row],[Versículo]]=""),"",ExtraerPasaje(_xlfn.CONCAT(BD_Versos[[#This Row],[Libro]],BD_Versos[[#This Row],[Capítulo]],":",BD_Versos[[#This Row],[Versículo]])))</f>
        <v/>
      </c>
      <c r="K299" s="4"/>
      <c r="L299" s="4"/>
    </row>
    <row r="300" spans="1:12" x14ac:dyDescent="0.25">
      <c r="A300" s="2" t="str">
        <f>IF(BD_Versos[[#This Row],[Tema_Principal]]="","",ROW(BD_Versos[[#This Row],[Tema_Principal]])-1)</f>
        <v/>
      </c>
      <c r="G300" s="6" t="str" cm="1">
        <f t="array" ref="G300">IF(OR(BD_Versos[[#This Row],[Libro]]="",BD_Versos[[#This Row],[Capítulo]]="",BD_Versos[[#This Row],[Versículo]]=""),"",ExtraerPasaje(_xlfn.CONCAT(BD_Versos[[#This Row],[Libro]],BD_Versos[[#This Row],[Capítulo]],":",BD_Versos[[#This Row],[Versículo]])))</f>
        <v/>
      </c>
      <c r="K300" s="4"/>
      <c r="L300" s="4"/>
    </row>
    <row r="301" spans="1:12" x14ac:dyDescent="0.25">
      <c r="A301" s="2" t="str">
        <f>IF(BD_Versos[[#This Row],[Tema_Principal]]="","",ROW(BD_Versos[[#This Row],[Tema_Principal]])-1)</f>
        <v/>
      </c>
      <c r="G301" s="6" t="str" cm="1">
        <f t="array" ref="G301">IF(OR(BD_Versos[[#This Row],[Libro]]="",BD_Versos[[#This Row],[Capítulo]]="",BD_Versos[[#This Row],[Versículo]]=""),"",ExtraerPasaje(_xlfn.CONCAT(BD_Versos[[#This Row],[Libro]],BD_Versos[[#This Row],[Capítulo]],":",BD_Versos[[#This Row],[Versículo]])))</f>
        <v/>
      </c>
      <c r="K301" s="4"/>
      <c r="L301" s="4"/>
    </row>
    <row r="302" spans="1:12" x14ac:dyDescent="0.25">
      <c r="A302" s="2" t="str">
        <f>IF(BD_Versos[[#This Row],[Tema_Principal]]="","",ROW(BD_Versos[[#This Row],[Tema_Principal]])-1)</f>
        <v/>
      </c>
      <c r="G302" s="6" t="str" cm="1">
        <f t="array" ref="G302">IF(OR(BD_Versos[[#This Row],[Libro]]="",BD_Versos[[#This Row],[Capítulo]]="",BD_Versos[[#This Row],[Versículo]]=""),"",ExtraerPasaje(_xlfn.CONCAT(BD_Versos[[#This Row],[Libro]],BD_Versos[[#This Row],[Capítulo]],":",BD_Versos[[#This Row],[Versículo]])))</f>
        <v/>
      </c>
      <c r="K302" s="4"/>
      <c r="L302" s="4"/>
    </row>
    <row r="303" spans="1:12" x14ac:dyDescent="0.25">
      <c r="A303" s="2" t="str">
        <f>IF(BD_Versos[[#This Row],[Tema_Principal]]="","",ROW(BD_Versos[[#This Row],[Tema_Principal]])-1)</f>
        <v/>
      </c>
      <c r="G303" s="6" t="str" cm="1">
        <f t="array" ref="G303">IF(OR(BD_Versos[[#This Row],[Libro]]="",BD_Versos[[#This Row],[Capítulo]]="",BD_Versos[[#This Row],[Versículo]]=""),"",ExtraerPasaje(_xlfn.CONCAT(BD_Versos[[#This Row],[Libro]],BD_Versos[[#This Row],[Capítulo]],":",BD_Versos[[#This Row],[Versículo]])))</f>
        <v/>
      </c>
      <c r="K303" s="4"/>
      <c r="L303" s="4"/>
    </row>
    <row r="304" spans="1:12" x14ac:dyDescent="0.25">
      <c r="A304" s="2" t="str">
        <f>IF(BD_Versos[[#This Row],[Tema_Principal]]="","",ROW(BD_Versos[[#This Row],[Tema_Principal]])-1)</f>
        <v/>
      </c>
      <c r="G304" s="6" t="str" cm="1">
        <f t="array" ref="G304">IF(OR(BD_Versos[[#This Row],[Libro]]="",BD_Versos[[#This Row],[Capítulo]]="",BD_Versos[[#This Row],[Versículo]]=""),"",ExtraerPasaje(_xlfn.CONCAT(BD_Versos[[#This Row],[Libro]],BD_Versos[[#This Row],[Capítulo]],":",BD_Versos[[#This Row],[Versículo]])))</f>
        <v/>
      </c>
      <c r="K304" s="4"/>
      <c r="L304" s="4"/>
    </row>
    <row r="305" spans="1:12" x14ac:dyDescent="0.25">
      <c r="A305" s="2" t="str">
        <f>IF(BD_Versos[[#This Row],[Tema_Principal]]="","",ROW(BD_Versos[[#This Row],[Tema_Principal]])-1)</f>
        <v/>
      </c>
      <c r="G305" s="6" t="str" cm="1">
        <f t="array" ref="G305">IF(OR(BD_Versos[[#This Row],[Libro]]="",BD_Versos[[#This Row],[Capítulo]]="",BD_Versos[[#This Row],[Versículo]]=""),"",ExtraerPasaje(_xlfn.CONCAT(BD_Versos[[#This Row],[Libro]],BD_Versos[[#This Row],[Capítulo]],":",BD_Versos[[#This Row],[Versículo]])))</f>
        <v/>
      </c>
      <c r="K305" s="4"/>
      <c r="L305" s="4"/>
    </row>
    <row r="306" spans="1:12" x14ac:dyDescent="0.25">
      <c r="A306" s="2" t="str">
        <f>IF(BD_Versos[[#This Row],[Tema_Principal]]="","",ROW(BD_Versos[[#This Row],[Tema_Principal]])-1)</f>
        <v/>
      </c>
      <c r="G306" s="6" t="str" cm="1">
        <f t="array" ref="G306">IF(OR(BD_Versos[[#This Row],[Libro]]="",BD_Versos[[#This Row],[Capítulo]]="",BD_Versos[[#This Row],[Versículo]]=""),"",ExtraerPasaje(_xlfn.CONCAT(BD_Versos[[#This Row],[Libro]],BD_Versos[[#This Row],[Capítulo]],":",BD_Versos[[#This Row],[Versículo]])))</f>
        <v/>
      </c>
      <c r="K306" s="4"/>
      <c r="L306" s="4"/>
    </row>
    <row r="307" spans="1:12" x14ac:dyDescent="0.25">
      <c r="A307" s="2" t="str">
        <f>IF(BD_Versos[[#This Row],[Tema_Principal]]="","",ROW(BD_Versos[[#This Row],[Tema_Principal]])-1)</f>
        <v/>
      </c>
      <c r="G307" s="6" t="str" cm="1">
        <f t="array" ref="G307">IF(OR(BD_Versos[[#This Row],[Libro]]="",BD_Versos[[#This Row],[Capítulo]]="",BD_Versos[[#This Row],[Versículo]]=""),"",ExtraerPasaje(_xlfn.CONCAT(BD_Versos[[#This Row],[Libro]],BD_Versos[[#This Row],[Capítulo]],":",BD_Versos[[#This Row],[Versículo]])))</f>
        <v/>
      </c>
      <c r="K307" s="4"/>
      <c r="L307" s="4"/>
    </row>
    <row r="308" spans="1:12" x14ac:dyDescent="0.25">
      <c r="A308" s="2" t="str">
        <f>IF(BD_Versos[[#This Row],[Tema_Principal]]="","",ROW(BD_Versos[[#This Row],[Tema_Principal]])-1)</f>
        <v/>
      </c>
      <c r="G308" s="6" t="str" cm="1">
        <f t="array" ref="G308">IF(OR(BD_Versos[[#This Row],[Libro]]="",BD_Versos[[#This Row],[Capítulo]]="",BD_Versos[[#This Row],[Versículo]]=""),"",ExtraerPasaje(_xlfn.CONCAT(BD_Versos[[#This Row],[Libro]],BD_Versos[[#This Row],[Capítulo]],":",BD_Versos[[#This Row],[Versículo]])))</f>
        <v/>
      </c>
      <c r="K308" s="4"/>
      <c r="L308" s="4"/>
    </row>
    <row r="309" spans="1:12" x14ac:dyDescent="0.25">
      <c r="A309" s="2" t="str">
        <f>IF(BD_Versos[[#This Row],[Tema_Principal]]="","",ROW(BD_Versos[[#This Row],[Tema_Principal]])-1)</f>
        <v/>
      </c>
      <c r="G309" s="6" t="str" cm="1">
        <f t="array" ref="G309">IF(OR(BD_Versos[[#This Row],[Libro]]="",BD_Versos[[#This Row],[Capítulo]]="",BD_Versos[[#This Row],[Versículo]]=""),"",ExtraerPasaje(_xlfn.CONCAT(BD_Versos[[#This Row],[Libro]],BD_Versos[[#This Row],[Capítulo]],":",BD_Versos[[#This Row],[Versículo]])))</f>
        <v/>
      </c>
      <c r="K309" s="4"/>
      <c r="L309" s="4"/>
    </row>
    <row r="310" spans="1:12" x14ac:dyDescent="0.25">
      <c r="A310" s="2" t="str">
        <f>IF(BD_Versos[[#This Row],[Tema_Principal]]="","",ROW(BD_Versos[[#This Row],[Tema_Principal]])-1)</f>
        <v/>
      </c>
      <c r="G310" s="6" t="str" cm="1">
        <f t="array" ref="G310">IF(OR(BD_Versos[[#This Row],[Libro]]="",BD_Versos[[#This Row],[Capítulo]]="",BD_Versos[[#This Row],[Versículo]]=""),"",ExtraerPasaje(_xlfn.CONCAT(BD_Versos[[#This Row],[Libro]],BD_Versos[[#This Row],[Capítulo]],":",BD_Versos[[#This Row],[Versículo]])))</f>
        <v/>
      </c>
      <c r="K310" s="4"/>
      <c r="L310" s="4"/>
    </row>
    <row r="311" spans="1:12" x14ac:dyDescent="0.25">
      <c r="A311" s="2" t="str">
        <f>IF(BD_Versos[[#This Row],[Tema_Principal]]="","",ROW(BD_Versos[[#This Row],[Tema_Principal]])-1)</f>
        <v/>
      </c>
      <c r="G311" s="6" t="str" cm="1">
        <f t="array" ref="G311">IF(OR(BD_Versos[[#This Row],[Libro]]="",BD_Versos[[#This Row],[Capítulo]]="",BD_Versos[[#This Row],[Versículo]]=""),"",ExtraerPasaje(_xlfn.CONCAT(BD_Versos[[#This Row],[Libro]],BD_Versos[[#This Row],[Capítulo]],":",BD_Versos[[#This Row],[Versículo]])))</f>
        <v/>
      </c>
      <c r="K311" s="4"/>
      <c r="L311" s="4"/>
    </row>
    <row r="312" spans="1:12" x14ac:dyDescent="0.25">
      <c r="A312" s="2" t="str">
        <f>IF(BD_Versos[[#This Row],[Tema_Principal]]="","",ROW(BD_Versos[[#This Row],[Tema_Principal]])-1)</f>
        <v/>
      </c>
      <c r="G312" s="6" t="str" cm="1">
        <f t="array" ref="G312">IF(OR(BD_Versos[[#This Row],[Libro]]="",BD_Versos[[#This Row],[Capítulo]]="",BD_Versos[[#This Row],[Versículo]]=""),"",ExtraerPasaje(_xlfn.CONCAT(BD_Versos[[#This Row],[Libro]],BD_Versos[[#This Row],[Capítulo]],":",BD_Versos[[#This Row],[Versículo]])))</f>
        <v/>
      </c>
      <c r="K312" s="4"/>
      <c r="L312" s="4"/>
    </row>
    <row r="313" spans="1:12" x14ac:dyDescent="0.25">
      <c r="A313" s="2" t="str">
        <f>IF(BD_Versos[[#This Row],[Tema_Principal]]="","",ROW(BD_Versos[[#This Row],[Tema_Principal]])-1)</f>
        <v/>
      </c>
      <c r="G313" s="6" t="str" cm="1">
        <f t="array" ref="G313">IF(OR(BD_Versos[[#This Row],[Libro]]="",BD_Versos[[#This Row],[Capítulo]]="",BD_Versos[[#This Row],[Versículo]]=""),"",ExtraerPasaje(_xlfn.CONCAT(BD_Versos[[#This Row],[Libro]],BD_Versos[[#This Row],[Capítulo]],":",BD_Versos[[#This Row],[Versículo]])))</f>
        <v/>
      </c>
      <c r="K313" s="4"/>
      <c r="L313" s="4"/>
    </row>
    <row r="314" spans="1:12"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K314" s="4"/>
      <c r="L314" s="4"/>
    </row>
    <row r="315" spans="1:12"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K315" s="4"/>
      <c r="L315" s="4"/>
    </row>
    <row r="316" spans="1:12"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K316" s="4"/>
      <c r="L316" s="4"/>
    </row>
    <row r="317" spans="1:12"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K317" s="4"/>
      <c r="L317" s="4"/>
    </row>
    <row r="318" spans="1:12"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K318" s="4"/>
      <c r="L318" s="4"/>
    </row>
    <row r="319" spans="1:12"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K319" s="4"/>
      <c r="L319" s="4"/>
    </row>
    <row r="320" spans="1:12"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K320" s="4"/>
      <c r="L320" s="4"/>
    </row>
    <row r="321" spans="1:12"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K321" s="4"/>
      <c r="L321" s="4"/>
    </row>
    <row r="322" spans="1:12"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K322" s="4"/>
      <c r="L322" s="4"/>
    </row>
    <row r="323" spans="1:12"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K323" s="4"/>
      <c r="L323" s="4"/>
    </row>
    <row r="324" spans="1:12"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K324" s="4"/>
      <c r="L324" s="4"/>
    </row>
    <row r="325" spans="1:12"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K325" s="4"/>
      <c r="L325" s="4"/>
    </row>
    <row r="326" spans="1:12"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K326" s="4"/>
      <c r="L326" s="4"/>
    </row>
    <row r="327" spans="1:12"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K327" s="4"/>
      <c r="L327" s="4"/>
    </row>
    <row r="328" spans="1:12"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K328" s="4"/>
      <c r="L328" s="4"/>
    </row>
    <row r="329" spans="1:12"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K329" s="4"/>
      <c r="L329" s="4"/>
    </row>
    <row r="330" spans="1:12"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K330" s="4"/>
      <c r="L330" s="4"/>
    </row>
    <row r="331" spans="1:12"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K331" s="4"/>
      <c r="L331" s="4"/>
    </row>
    <row r="332" spans="1:12"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K332" s="4"/>
      <c r="L332" s="4"/>
    </row>
    <row r="333" spans="1:12"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K333" s="4"/>
      <c r="L333" s="4"/>
    </row>
    <row r="334" spans="1:12"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K334" s="4"/>
      <c r="L334" s="4"/>
    </row>
    <row r="335" spans="1:12"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K335" s="4"/>
      <c r="L335" s="4"/>
    </row>
    <row r="336" spans="1:12"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K336" s="4"/>
      <c r="L336" s="4"/>
    </row>
    <row r="337" spans="1:12"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K337" s="4"/>
      <c r="L337" s="4"/>
    </row>
    <row r="338" spans="1:12"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K338" s="4"/>
      <c r="L338" s="4"/>
    </row>
    <row r="339" spans="1:12"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K339" s="4"/>
      <c r="L339" s="4"/>
    </row>
    <row r="340" spans="1:12"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K340" s="4"/>
      <c r="L340" s="4"/>
    </row>
    <row r="341" spans="1:12"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K341" s="4"/>
      <c r="L341" s="4"/>
    </row>
    <row r="342" spans="1:12"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K342" s="4"/>
      <c r="L342" s="4"/>
    </row>
    <row r="343" spans="1:12"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K343" s="4"/>
      <c r="L343" s="4"/>
    </row>
    <row r="344" spans="1:12"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K344" s="4"/>
      <c r="L344" s="4"/>
    </row>
    <row r="345" spans="1:12"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K345" s="4"/>
      <c r="L345" s="4"/>
    </row>
    <row r="346" spans="1:12"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K346" s="4"/>
      <c r="L346" s="4"/>
    </row>
    <row r="347" spans="1:12"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K347" s="4"/>
      <c r="L347" s="4"/>
    </row>
    <row r="348" spans="1:12"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K348" s="4"/>
      <c r="L348" s="4"/>
    </row>
    <row r="349" spans="1:12"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K349" s="4"/>
      <c r="L349" s="4"/>
    </row>
    <row r="350" spans="1:12"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K350" s="4"/>
      <c r="L350" s="4"/>
    </row>
    <row r="351" spans="1:12"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K351" s="4"/>
      <c r="L351" s="4"/>
    </row>
    <row r="352" spans="1:12"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K352" s="4"/>
      <c r="L352" s="4"/>
    </row>
    <row r="353" spans="1:12"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K353" s="4"/>
      <c r="L353" s="4"/>
    </row>
    <row r="354" spans="1:12"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K354" s="4"/>
      <c r="L354" s="4"/>
    </row>
    <row r="355" spans="1:12"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K355" s="4"/>
      <c r="L355" s="4"/>
    </row>
    <row r="356" spans="1:12"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K356" s="4"/>
      <c r="L356" s="4"/>
    </row>
    <row r="357" spans="1:12"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K357" s="4"/>
      <c r="L357" s="4"/>
    </row>
    <row r="358" spans="1:12"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K358" s="4"/>
      <c r="L358" s="4"/>
    </row>
    <row r="359" spans="1:12"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K359" s="4"/>
      <c r="L359" s="4"/>
    </row>
    <row r="360" spans="1:12"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K360" s="4"/>
      <c r="L360" s="4"/>
    </row>
    <row r="361" spans="1:12"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K361" s="4"/>
      <c r="L361" s="4"/>
    </row>
    <row r="362" spans="1:12"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K362" s="4"/>
      <c r="L362" s="4"/>
    </row>
    <row r="363" spans="1:12"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K363" s="4"/>
      <c r="L363" s="4"/>
    </row>
    <row r="364" spans="1:12"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K364" s="4"/>
      <c r="L364" s="4"/>
    </row>
    <row r="365" spans="1:12"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K365" s="4"/>
      <c r="L365" s="4"/>
    </row>
    <row r="366" spans="1:12"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K366" s="4"/>
      <c r="L366" s="4"/>
    </row>
    <row r="367" spans="1:12"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K367" s="4"/>
      <c r="L367" s="4"/>
    </row>
    <row r="368" spans="1:12"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K368" s="4"/>
      <c r="L368" s="4"/>
    </row>
    <row r="369" spans="1:12"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K369" s="4"/>
      <c r="L369" s="4"/>
    </row>
    <row r="370" spans="1:12"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K370" s="4"/>
      <c r="L370" s="4"/>
    </row>
    <row r="371" spans="1:12"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K371" s="4"/>
      <c r="L371" s="4"/>
    </row>
    <row r="372" spans="1:12"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K372" s="4"/>
      <c r="L372" s="4"/>
    </row>
    <row r="373" spans="1:12"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K373" s="4"/>
      <c r="L373" s="4"/>
    </row>
    <row r="374" spans="1:12"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K374" s="4"/>
      <c r="L374" s="4"/>
    </row>
    <row r="375" spans="1:12"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K375" s="4"/>
      <c r="L375" s="4"/>
    </row>
    <row r="376" spans="1:12"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K376" s="4"/>
      <c r="L376" s="4"/>
    </row>
    <row r="377" spans="1:12"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K377" s="4"/>
      <c r="L377" s="4"/>
    </row>
    <row r="378" spans="1:12"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K378" s="4"/>
      <c r="L378" s="4"/>
    </row>
    <row r="379" spans="1:12"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K379" s="4"/>
      <c r="L379" s="4"/>
    </row>
    <row r="380" spans="1:12"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K380" s="4"/>
      <c r="L380" s="4"/>
    </row>
    <row r="381" spans="1:12"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K381" s="4"/>
      <c r="L381" s="4"/>
    </row>
    <row r="382" spans="1:12"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K382" s="4"/>
      <c r="L382" s="4"/>
    </row>
    <row r="383" spans="1:12"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K383" s="4"/>
      <c r="L383" s="4"/>
    </row>
    <row r="384" spans="1:12"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K384" s="4"/>
      <c r="L384" s="4"/>
    </row>
    <row r="385" spans="1:12"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K385" s="4"/>
      <c r="L385" s="4"/>
    </row>
    <row r="386" spans="1:12"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K386" s="4"/>
      <c r="L386" s="4"/>
    </row>
    <row r="387" spans="1:12"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K387" s="4"/>
      <c r="L387" s="4"/>
    </row>
    <row r="388" spans="1:12"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K388" s="4"/>
      <c r="L388" s="4"/>
    </row>
    <row r="389" spans="1:12"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K389" s="4"/>
      <c r="L389" s="4"/>
    </row>
    <row r="390" spans="1:12"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K390" s="4"/>
      <c r="L390" s="4"/>
    </row>
    <row r="391" spans="1:12"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K391" s="4"/>
      <c r="L391" s="4"/>
    </row>
    <row r="392" spans="1:12"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K392" s="4"/>
      <c r="L392" s="4"/>
    </row>
    <row r="393" spans="1:12"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K393" s="4"/>
      <c r="L393" s="4"/>
    </row>
    <row r="394" spans="1:12"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K394" s="4"/>
      <c r="L394" s="4"/>
    </row>
    <row r="395" spans="1:12"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K395" s="4"/>
      <c r="L395" s="4"/>
    </row>
    <row r="396" spans="1:12"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K396" s="4"/>
      <c r="L396" s="4"/>
    </row>
    <row r="397" spans="1:12"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K397" s="4"/>
      <c r="L397" s="4"/>
    </row>
    <row r="398" spans="1:12"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K398" s="4"/>
      <c r="L398" s="4"/>
    </row>
    <row r="399" spans="1:12"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K399" s="4"/>
      <c r="L399" s="4"/>
    </row>
    <row r="400" spans="1:12"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K400" s="4"/>
      <c r="L400" s="4"/>
    </row>
    <row r="401" spans="1:12"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K401" s="4"/>
      <c r="L401" s="4"/>
    </row>
    <row r="402" spans="1:12"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K402" s="4"/>
      <c r="L402" s="4"/>
    </row>
    <row r="403" spans="1:12"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K403" s="4"/>
      <c r="L403" s="4"/>
    </row>
    <row r="404" spans="1:12"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K404" s="4"/>
      <c r="L404" s="4"/>
    </row>
    <row r="405" spans="1:12"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K405" s="4"/>
      <c r="L405" s="4"/>
    </row>
    <row r="406" spans="1:12"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K406" s="4"/>
      <c r="L406" s="4"/>
    </row>
    <row r="407" spans="1:12"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K407" s="4"/>
      <c r="L407" s="4"/>
    </row>
    <row r="408" spans="1:12"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K408" s="4"/>
      <c r="L408" s="4"/>
    </row>
    <row r="409" spans="1:12"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K409" s="4"/>
      <c r="L409" s="4"/>
    </row>
    <row r="410" spans="1:12"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K410" s="4"/>
      <c r="L410" s="4"/>
    </row>
    <row r="411" spans="1:12"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K411" s="4"/>
      <c r="L411" s="4"/>
    </row>
    <row r="412" spans="1:12"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K412" s="4"/>
      <c r="L412" s="4"/>
    </row>
    <row r="413" spans="1:12"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K413" s="4"/>
      <c r="L413" s="4"/>
    </row>
    <row r="414" spans="1:12"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K414" s="4"/>
      <c r="L414" s="4"/>
    </row>
    <row r="415" spans="1:12"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K415" s="4"/>
      <c r="L415" s="4"/>
    </row>
    <row r="416" spans="1:12"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K416" s="4"/>
      <c r="L416" s="4"/>
    </row>
    <row r="417" spans="1:12"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K417" s="4"/>
      <c r="L417" s="4"/>
    </row>
    <row r="418" spans="1:12"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K418" s="4"/>
      <c r="L418" s="4"/>
    </row>
    <row r="419" spans="1:12"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K419" s="4"/>
      <c r="L419" s="4"/>
    </row>
    <row r="420" spans="1:12"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K420" s="4"/>
      <c r="L420" s="4"/>
    </row>
    <row r="421" spans="1:12"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K421" s="4"/>
      <c r="L421" s="4"/>
    </row>
    <row r="422" spans="1:12"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K422" s="4"/>
      <c r="L422" s="4"/>
    </row>
    <row r="423" spans="1:12"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K423" s="4"/>
      <c r="L423" s="4"/>
    </row>
    <row r="424" spans="1:12"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K424" s="4"/>
      <c r="L424" s="4"/>
    </row>
    <row r="425" spans="1:12"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K425" s="4"/>
      <c r="L425" s="4"/>
    </row>
    <row r="426" spans="1:12"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K426" s="4"/>
      <c r="L426" s="4"/>
    </row>
    <row r="427" spans="1:12"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K427" s="4"/>
      <c r="L427" s="4"/>
    </row>
    <row r="428" spans="1:12"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K428" s="4"/>
      <c r="L428" s="4"/>
    </row>
    <row r="429" spans="1:12"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K429" s="4"/>
      <c r="L429" s="4"/>
    </row>
    <row r="430" spans="1:12"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K430" s="4"/>
      <c r="L430" s="4"/>
    </row>
    <row r="431" spans="1:12"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K431" s="4"/>
      <c r="L431" s="4"/>
    </row>
    <row r="432" spans="1:12"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K432" s="4"/>
      <c r="L432" s="4"/>
    </row>
    <row r="433" spans="1:12"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K433" s="4"/>
      <c r="L433" s="4"/>
    </row>
    <row r="434" spans="1:12"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K434" s="4"/>
      <c r="L434" s="4"/>
    </row>
    <row r="435" spans="1:12"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K435" s="4"/>
      <c r="L435" s="4"/>
    </row>
    <row r="436" spans="1:12"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K436" s="4"/>
      <c r="L436" s="4"/>
    </row>
    <row r="437" spans="1:12"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K437" s="4"/>
      <c r="L437" s="4"/>
    </row>
    <row r="438" spans="1:12"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K438" s="4"/>
      <c r="L438" s="4"/>
    </row>
    <row r="439" spans="1:12"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K439" s="4"/>
      <c r="L439" s="4"/>
    </row>
    <row r="440" spans="1:12"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K440" s="4"/>
      <c r="L440" s="4"/>
    </row>
    <row r="441" spans="1:12"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K441" s="4"/>
      <c r="L441" s="4"/>
    </row>
    <row r="442" spans="1:12"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K442" s="4"/>
      <c r="L442" s="4"/>
    </row>
    <row r="443" spans="1:12"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K443" s="4"/>
      <c r="L443" s="4"/>
    </row>
    <row r="444" spans="1:12"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K444" s="4"/>
      <c r="L444" s="4"/>
    </row>
    <row r="445" spans="1:12"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K445" s="4"/>
      <c r="L445" s="4"/>
    </row>
    <row r="446" spans="1:12"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K446" s="4"/>
      <c r="L446" s="4"/>
    </row>
    <row r="447" spans="1:12"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K447" s="4"/>
      <c r="L447" s="4"/>
    </row>
    <row r="448" spans="1:12"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K448" s="4"/>
      <c r="L448" s="4"/>
    </row>
    <row r="449" spans="1:12"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K449" s="4"/>
      <c r="L449" s="4"/>
    </row>
    <row r="450" spans="1:12"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K450" s="4"/>
      <c r="L450" s="4"/>
    </row>
    <row r="451" spans="1:12"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K451" s="4"/>
      <c r="L451" s="4"/>
    </row>
    <row r="452" spans="1:12"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K452" s="4"/>
      <c r="L452" s="4"/>
    </row>
    <row r="453" spans="1:12"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K453" s="4"/>
      <c r="L453" s="4"/>
    </row>
    <row r="454" spans="1:12"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K454" s="4"/>
      <c r="L454" s="4"/>
    </row>
    <row r="455" spans="1:12"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K455" s="4"/>
      <c r="L455" s="4"/>
    </row>
    <row r="456" spans="1:12"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K456" s="4"/>
      <c r="L456" s="4"/>
    </row>
    <row r="457" spans="1:12"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K457" s="4"/>
      <c r="L457" s="4"/>
    </row>
    <row r="458" spans="1:12"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K458" s="4"/>
      <c r="L458" s="4"/>
    </row>
    <row r="459" spans="1:12"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K459" s="4"/>
      <c r="L459" s="4"/>
    </row>
    <row r="460" spans="1:12"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K460" s="4"/>
      <c r="L460" s="4"/>
    </row>
    <row r="461" spans="1:12"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K461" s="4"/>
      <c r="L461" s="4"/>
    </row>
    <row r="462" spans="1:12"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K462" s="4"/>
      <c r="L462" s="4"/>
    </row>
    <row r="463" spans="1:12"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K463" s="4"/>
      <c r="L463" s="4"/>
    </row>
    <row r="464" spans="1:12"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K464" s="4"/>
      <c r="L464" s="4"/>
    </row>
    <row r="465" spans="1:12"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K465" s="4"/>
      <c r="L465" s="4"/>
    </row>
    <row r="466" spans="1:12"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K466" s="4"/>
      <c r="L466" s="4"/>
    </row>
    <row r="467" spans="1:12"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K467" s="4"/>
      <c r="L467" s="4"/>
    </row>
    <row r="468" spans="1:12"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K468" s="4"/>
      <c r="L468" s="4"/>
    </row>
    <row r="469" spans="1:12"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K469" s="4"/>
      <c r="L469" s="4"/>
    </row>
    <row r="470" spans="1:12"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K470" s="4"/>
      <c r="L470" s="4"/>
    </row>
    <row r="471" spans="1:12"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K471" s="4"/>
      <c r="L471" s="4"/>
    </row>
    <row r="472" spans="1:12"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K472" s="4"/>
      <c r="L472" s="4"/>
    </row>
    <row r="473" spans="1:12"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K473" s="4"/>
      <c r="L473" s="4"/>
    </row>
    <row r="474" spans="1:12"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K474" s="4"/>
      <c r="L474" s="4"/>
    </row>
    <row r="475" spans="1:12"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K475" s="4"/>
      <c r="L475" s="4"/>
    </row>
    <row r="476" spans="1:12"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K476" s="4"/>
      <c r="L476" s="4"/>
    </row>
    <row r="477" spans="1:12"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K477" s="4"/>
      <c r="L477" s="4"/>
    </row>
    <row r="478" spans="1:12"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K478" s="4"/>
      <c r="L478" s="4"/>
    </row>
    <row r="479" spans="1:12"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K479" s="4"/>
      <c r="L479" s="4"/>
    </row>
    <row r="480" spans="1:12"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K480" s="4"/>
      <c r="L480" s="4"/>
    </row>
    <row r="481" spans="1:12"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K481" s="4"/>
      <c r="L481" s="4"/>
    </row>
    <row r="482" spans="1:12"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K482" s="4"/>
      <c r="L482" s="4"/>
    </row>
    <row r="483" spans="1:12"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K483" s="4"/>
      <c r="L483" s="4"/>
    </row>
    <row r="484" spans="1:12"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K484" s="4"/>
      <c r="L484" s="4"/>
    </row>
    <row r="485" spans="1:12"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K485" s="4"/>
      <c r="L485" s="4"/>
    </row>
    <row r="486" spans="1:12"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K486" s="4"/>
      <c r="L486" s="4"/>
    </row>
    <row r="487" spans="1:12"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K487" s="4"/>
      <c r="L487" s="4"/>
    </row>
    <row r="488" spans="1:12"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K488" s="4"/>
      <c r="L488" s="4"/>
    </row>
    <row r="489" spans="1:12"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K489" s="4"/>
      <c r="L489" s="4"/>
    </row>
    <row r="490" spans="1:12"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K490" s="4"/>
      <c r="L490" s="4"/>
    </row>
    <row r="491" spans="1:12"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K491" s="4"/>
      <c r="L491" s="4"/>
    </row>
    <row r="492" spans="1:12"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K492" s="4"/>
      <c r="L492" s="4"/>
    </row>
    <row r="493" spans="1:12"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K493" s="4"/>
      <c r="L493" s="4"/>
    </row>
    <row r="494" spans="1:12"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K494" s="4"/>
      <c r="L494" s="4"/>
    </row>
    <row r="495" spans="1:12"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K495" s="4"/>
      <c r="L495" s="4"/>
    </row>
    <row r="496" spans="1:12"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K496" s="4"/>
      <c r="L496" s="4"/>
    </row>
    <row r="497" spans="1:12"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K497" s="4"/>
      <c r="L497" s="4"/>
    </row>
    <row r="498" spans="1:12"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K498" s="4"/>
      <c r="L498" s="4"/>
    </row>
    <row r="499" spans="1:12"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K499" s="4"/>
      <c r="L499" s="4"/>
    </row>
    <row r="500" spans="1:12"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K500" s="4"/>
      <c r="L500" s="4"/>
    </row>
    <row r="501" spans="1:12"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K501" s="4"/>
      <c r="L501" s="4"/>
    </row>
    <row r="502" spans="1:12"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K502" s="4"/>
      <c r="L502" s="4"/>
    </row>
    <row r="503" spans="1:12"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K503" s="4"/>
      <c r="L503" s="4"/>
    </row>
    <row r="504" spans="1:12"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K504" s="4"/>
      <c r="L504" s="4"/>
    </row>
    <row r="505" spans="1:12"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K505" s="4"/>
      <c r="L505" s="4"/>
    </row>
    <row r="506" spans="1:12"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K506" s="4"/>
      <c r="L506" s="4"/>
    </row>
    <row r="507" spans="1:12"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K507" s="4"/>
      <c r="L507" s="4"/>
    </row>
    <row r="508" spans="1:12"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K508" s="4"/>
      <c r="L508" s="4"/>
    </row>
    <row r="509" spans="1:12"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K509" s="4"/>
      <c r="L509" s="4"/>
    </row>
    <row r="510" spans="1:12"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K510" s="4"/>
      <c r="L510" s="4"/>
    </row>
    <row r="511" spans="1:12"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K511" s="4"/>
      <c r="L511" s="4"/>
    </row>
    <row r="512" spans="1:12"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K512" s="4"/>
      <c r="L512" s="4"/>
    </row>
    <row r="513" spans="1:12"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K513" s="4"/>
      <c r="L513" s="4"/>
    </row>
    <row r="514" spans="1:12"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K514" s="4"/>
      <c r="L514" s="4"/>
    </row>
    <row r="515" spans="1:12"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K515" s="4"/>
      <c r="L515" s="4"/>
    </row>
    <row r="516" spans="1:12"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K516" s="4"/>
      <c r="L516" s="4"/>
    </row>
    <row r="517" spans="1:12"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K517" s="4"/>
      <c r="L517" s="4"/>
    </row>
    <row r="518" spans="1:12"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K518" s="4"/>
      <c r="L518" s="4"/>
    </row>
    <row r="519" spans="1:12"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K519" s="4"/>
      <c r="L519" s="4"/>
    </row>
    <row r="520" spans="1:12"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K520" s="4"/>
      <c r="L520" s="4"/>
    </row>
    <row r="521" spans="1:12"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K521" s="4"/>
      <c r="L521" s="4"/>
    </row>
    <row r="522" spans="1:12"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K522" s="4"/>
      <c r="L522" s="4"/>
    </row>
    <row r="523" spans="1:12"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K523" s="4"/>
      <c r="L523" s="4"/>
    </row>
    <row r="524" spans="1:12"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K524" s="4"/>
      <c r="L524" s="4"/>
    </row>
    <row r="525" spans="1:12"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K525" s="4"/>
      <c r="L525" s="4"/>
    </row>
    <row r="526" spans="1:12"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K526" s="4"/>
      <c r="L526" s="4"/>
    </row>
    <row r="527" spans="1:12"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K527" s="4"/>
      <c r="L527" s="4"/>
    </row>
    <row r="528" spans="1:12"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K528" s="4"/>
      <c r="L528" s="4"/>
    </row>
    <row r="529" spans="1:12"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K529" s="4"/>
      <c r="L529" s="4"/>
    </row>
    <row r="530" spans="1:12"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K530" s="4"/>
      <c r="L530" s="4"/>
    </row>
    <row r="531" spans="1:12"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K531" s="4"/>
      <c r="L531" s="4"/>
    </row>
    <row r="532" spans="1:12"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K532" s="4"/>
      <c r="L532" s="4"/>
    </row>
    <row r="533" spans="1:12"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K533" s="4"/>
      <c r="L533" s="4"/>
    </row>
    <row r="534" spans="1:12"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K534" s="4"/>
      <c r="L534" s="4"/>
    </row>
    <row r="535" spans="1:12"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K535" s="4"/>
      <c r="L535" s="4"/>
    </row>
    <row r="536" spans="1:12"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K536" s="4"/>
      <c r="L536" s="4"/>
    </row>
    <row r="537" spans="1:12"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K537" s="4"/>
      <c r="L537" s="4"/>
    </row>
    <row r="538" spans="1:12"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K538" s="4"/>
      <c r="L538" s="4"/>
    </row>
    <row r="539" spans="1:12"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K539" s="4"/>
      <c r="L539" s="4"/>
    </row>
    <row r="540" spans="1:12"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K540" s="4"/>
      <c r="L540" s="4"/>
    </row>
    <row r="541" spans="1:12"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K541" s="4"/>
      <c r="L541" s="4"/>
    </row>
    <row r="542" spans="1:12"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K542" s="4"/>
      <c r="L542" s="4"/>
    </row>
    <row r="543" spans="1:12"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K543" s="4"/>
      <c r="L543" s="4"/>
    </row>
    <row r="544" spans="1:12"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K544" s="4"/>
      <c r="L544" s="4"/>
    </row>
    <row r="545" spans="1:12"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K545" s="4"/>
      <c r="L545" s="4"/>
    </row>
    <row r="546" spans="1:12"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K546" s="4"/>
      <c r="L546" s="4"/>
    </row>
    <row r="547" spans="1:12"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K547" s="4"/>
      <c r="L547" s="4"/>
    </row>
    <row r="548" spans="1:12"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K548" s="4"/>
      <c r="L548" s="4"/>
    </row>
    <row r="549" spans="1:12"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K549" s="4"/>
      <c r="L549" s="4"/>
    </row>
    <row r="550" spans="1:12"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K550" s="4"/>
      <c r="L550" s="4"/>
    </row>
    <row r="551" spans="1:12"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K551" s="4"/>
      <c r="L551" s="4"/>
    </row>
    <row r="552" spans="1:12"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K552" s="4"/>
      <c r="L552" s="4"/>
    </row>
    <row r="553" spans="1:12"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K553" s="4"/>
      <c r="L553" s="4"/>
    </row>
    <row r="554" spans="1:12"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K554" s="4"/>
      <c r="L554" s="4"/>
    </row>
    <row r="555" spans="1:12"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K555" s="4"/>
      <c r="L555" s="4"/>
    </row>
    <row r="556" spans="1:12"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K556" s="4"/>
      <c r="L556" s="4"/>
    </row>
    <row r="557" spans="1:12"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K557" s="4"/>
      <c r="L557" s="4"/>
    </row>
    <row r="558" spans="1:12"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K558" s="4"/>
      <c r="L558" s="4"/>
    </row>
    <row r="559" spans="1:12"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K559" s="4"/>
      <c r="L559" s="4"/>
    </row>
    <row r="560" spans="1:12"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K560" s="4"/>
      <c r="L560" s="4"/>
    </row>
    <row r="561" spans="1:12"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K561" s="4"/>
      <c r="L561" s="4"/>
    </row>
    <row r="562" spans="1:12"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K562" s="4"/>
      <c r="L562" s="4"/>
    </row>
    <row r="563" spans="1:12"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K563" s="4"/>
      <c r="L563" s="4"/>
    </row>
    <row r="564" spans="1:12"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K564" s="4"/>
      <c r="L564" s="4"/>
    </row>
    <row r="565" spans="1:12"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K565" s="4"/>
      <c r="L565" s="4"/>
    </row>
    <row r="566" spans="1:12"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K566" s="4"/>
      <c r="L566" s="4"/>
    </row>
    <row r="567" spans="1:12"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K567" s="4"/>
      <c r="L567" s="4"/>
    </row>
    <row r="568" spans="1:12"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K568" s="4"/>
      <c r="L568" s="4"/>
    </row>
    <row r="569" spans="1:12"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K569" s="4"/>
      <c r="L569" s="4"/>
    </row>
    <row r="570" spans="1:12"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K570" s="4"/>
      <c r="L570" s="4"/>
    </row>
    <row r="571" spans="1:12"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K571" s="4"/>
      <c r="L571" s="4"/>
    </row>
    <row r="572" spans="1:12"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K572" s="4"/>
      <c r="L572" s="4"/>
    </row>
    <row r="573" spans="1:12"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K573" s="4"/>
      <c r="L573" s="4"/>
    </row>
    <row r="574" spans="1:12"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K574" s="4"/>
      <c r="L574" s="4"/>
    </row>
    <row r="575" spans="1:12"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K575" s="4"/>
      <c r="L575" s="4"/>
    </row>
    <row r="576" spans="1:12"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K576" s="4"/>
      <c r="L576" s="4"/>
    </row>
    <row r="577" spans="1:12"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K577" s="4"/>
      <c r="L577" s="4"/>
    </row>
    <row r="578" spans="1:12"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K578" s="4"/>
      <c r="L578" s="4"/>
    </row>
    <row r="579" spans="1:12"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K579" s="4"/>
      <c r="L579" s="4"/>
    </row>
    <row r="580" spans="1:12"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K580" s="4"/>
      <c r="L580" s="4"/>
    </row>
    <row r="581" spans="1:12"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K581" s="4"/>
      <c r="L581" s="4"/>
    </row>
    <row r="582" spans="1:12"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K582" s="4"/>
      <c r="L582" s="4"/>
    </row>
    <row r="583" spans="1:12"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K583" s="4"/>
      <c r="L583" s="4"/>
    </row>
    <row r="584" spans="1:12"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K584" s="4"/>
      <c r="L584" s="4"/>
    </row>
    <row r="585" spans="1:12"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K585" s="4"/>
      <c r="L585" s="4"/>
    </row>
    <row r="586" spans="1:12"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K586" s="4"/>
      <c r="L586" s="4"/>
    </row>
    <row r="587" spans="1:12"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K587" s="4"/>
      <c r="L587" s="4"/>
    </row>
    <row r="588" spans="1:12"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K588" s="4"/>
      <c r="L588" s="4"/>
    </row>
    <row r="589" spans="1:12"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K589" s="4"/>
      <c r="L589" s="4"/>
    </row>
    <row r="590" spans="1:12"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K590" s="4"/>
      <c r="L590" s="4"/>
    </row>
    <row r="591" spans="1:12"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K591" s="4"/>
      <c r="L591" s="4"/>
    </row>
    <row r="592" spans="1:12"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K592" s="4"/>
      <c r="L592" s="4"/>
    </row>
    <row r="593" spans="1:12"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K593" s="4"/>
      <c r="L593" s="4"/>
    </row>
    <row r="594" spans="1:12"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K594" s="4"/>
      <c r="L594" s="4"/>
    </row>
    <row r="595" spans="1:12"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K595" s="4"/>
      <c r="L595" s="4"/>
    </row>
    <row r="596" spans="1:12"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K596" s="4"/>
      <c r="L596" s="4"/>
    </row>
    <row r="597" spans="1:12"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K597" s="4"/>
      <c r="L597" s="4"/>
    </row>
    <row r="598" spans="1:12"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K598" s="4"/>
      <c r="L598" s="4"/>
    </row>
    <row r="599" spans="1:12"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K599" s="4"/>
      <c r="L599" s="4"/>
    </row>
    <row r="600" spans="1:12"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K600" s="4"/>
      <c r="L600" s="4"/>
    </row>
    <row r="601" spans="1:12"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K601" s="4"/>
      <c r="L601" s="4"/>
    </row>
    <row r="602" spans="1:12"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K602" s="4"/>
      <c r="L602" s="4"/>
    </row>
    <row r="603" spans="1:12"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K603" s="4"/>
      <c r="L603" s="4"/>
    </row>
    <row r="604" spans="1:12"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K604" s="4"/>
      <c r="L604" s="4"/>
    </row>
    <row r="605" spans="1:12"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K605" s="4"/>
      <c r="L605" s="4"/>
    </row>
    <row r="606" spans="1:12"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K606" s="4"/>
      <c r="L606" s="4"/>
    </row>
    <row r="607" spans="1:12"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K607" s="4"/>
      <c r="L607" s="4"/>
    </row>
    <row r="608" spans="1:12"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K608" s="4"/>
      <c r="L608" s="4"/>
    </row>
    <row r="609" spans="1:12"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K609" s="4"/>
      <c r="L609" s="4"/>
    </row>
    <row r="610" spans="1:12"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K610" s="4"/>
      <c r="L610" s="4"/>
    </row>
    <row r="611" spans="1:12"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K611" s="4"/>
      <c r="L611" s="4"/>
    </row>
    <row r="612" spans="1:12"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K612" s="4"/>
      <c r="L612" s="4"/>
    </row>
    <row r="613" spans="1:12"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K613" s="4"/>
      <c r="L613" s="4"/>
    </row>
    <row r="614" spans="1:12"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K614" s="4"/>
      <c r="L614" s="4"/>
    </row>
    <row r="615" spans="1:12"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K615" s="4"/>
      <c r="L615" s="4"/>
    </row>
    <row r="616" spans="1:12"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K616" s="4"/>
      <c r="L616" s="4"/>
    </row>
    <row r="617" spans="1:12"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K617" s="4"/>
      <c r="L617" s="4"/>
    </row>
    <row r="618" spans="1:12"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K618" s="4"/>
      <c r="L618" s="4"/>
    </row>
    <row r="619" spans="1:12"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K619" s="4"/>
      <c r="L619" s="4"/>
    </row>
    <row r="620" spans="1:12"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K620" s="4"/>
      <c r="L620" s="4"/>
    </row>
    <row r="621" spans="1:12"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K621" s="4"/>
      <c r="L621" s="4"/>
    </row>
    <row r="622" spans="1:12"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K622" s="4"/>
      <c r="L622" s="4"/>
    </row>
    <row r="623" spans="1:12"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K623" s="4"/>
      <c r="L623" s="4"/>
    </row>
    <row r="624" spans="1:12"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K624" s="4"/>
      <c r="L624" s="4"/>
    </row>
    <row r="625" spans="1:12"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K625" s="4"/>
      <c r="L625" s="4"/>
    </row>
    <row r="626" spans="1:12"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K626" s="4"/>
      <c r="L626" s="4"/>
    </row>
    <row r="627" spans="1:12"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K627" s="4"/>
      <c r="L627" s="4"/>
    </row>
    <row r="628" spans="1:12"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K628" s="4"/>
      <c r="L628" s="4"/>
    </row>
    <row r="629" spans="1:12"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K629" s="4"/>
      <c r="L629" s="4"/>
    </row>
    <row r="630" spans="1:12"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K630" s="4"/>
      <c r="L630" s="4"/>
    </row>
    <row r="631" spans="1:12"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K631" s="4"/>
      <c r="L631" s="4"/>
    </row>
    <row r="632" spans="1:12"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K632" s="4"/>
      <c r="L632" s="4"/>
    </row>
    <row r="633" spans="1:12"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K633" s="4"/>
      <c r="L633" s="4"/>
    </row>
    <row r="634" spans="1:12"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K634" s="4"/>
      <c r="L634" s="4"/>
    </row>
    <row r="635" spans="1:12"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K635" s="4"/>
      <c r="L635" s="4"/>
    </row>
    <row r="636" spans="1:12"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K636" s="4"/>
      <c r="L636" s="4"/>
    </row>
    <row r="637" spans="1:12"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K637" s="4"/>
      <c r="L637" s="4"/>
    </row>
    <row r="638" spans="1:12"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K638" s="4"/>
      <c r="L638" s="4"/>
    </row>
    <row r="639" spans="1:12"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K639" s="4"/>
      <c r="L639" s="4"/>
    </row>
    <row r="640" spans="1:12"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K640" s="4"/>
      <c r="L640" s="4"/>
    </row>
    <row r="641" spans="1:12"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K641" s="4"/>
      <c r="L641" s="4"/>
    </row>
    <row r="642" spans="1:12"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K642" s="4"/>
      <c r="L642" s="4"/>
    </row>
    <row r="643" spans="1:12"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K643" s="4"/>
      <c r="L643" s="4"/>
    </row>
    <row r="644" spans="1:12"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K644" s="4"/>
      <c r="L644" s="4"/>
    </row>
    <row r="645" spans="1:12"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K645" s="4"/>
      <c r="L645" s="4"/>
    </row>
    <row r="646" spans="1:12"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K646" s="4"/>
      <c r="L646" s="4"/>
    </row>
    <row r="647" spans="1:12"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K647" s="4"/>
      <c r="L647" s="4"/>
    </row>
    <row r="648" spans="1:12"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K648" s="4"/>
      <c r="L648" s="4"/>
    </row>
    <row r="649" spans="1:12"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K649" s="4"/>
      <c r="L649" s="4"/>
    </row>
    <row r="650" spans="1:12"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K650" s="4"/>
      <c r="L650" s="4"/>
    </row>
    <row r="651" spans="1:12"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K651" s="4"/>
      <c r="L651" s="4"/>
    </row>
    <row r="652" spans="1:12"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K652" s="4"/>
      <c r="L652" s="4"/>
    </row>
    <row r="653" spans="1:12"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K653" s="4"/>
      <c r="L653" s="4"/>
    </row>
    <row r="654" spans="1:12"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K654" s="4"/>
      <c r="L654" s="4"/>
    </row>
    <row r="655" spans="1:12"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K655" s="4"/>
      <c r="L655" s="4"/>
    </row>
    <row r="656" spans="1:12"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K656" s="4"/>
      <c r="L656" s="4"/>
    </row>
    <row r="657" spans="1:12"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K657" s="4"/>
      <c r="L657" s="4"/>
    </row>
    <row r="658" spans="1:12"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K658" s="4"/>
      <c r="L658" s="4"/>
    </row>
    <row r="659" spans="1:12"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K659" s="4"/>
      <c r="L659" s="4"/>
    </row>
    <row r="660" spans="1:12"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K660" s="4"/>
      <c r="L660" s="4"/>
    </row>
    <row r="661" spans="1:12"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K661" s="4"/>
      <c r="L661" s="4"/>
    </row>
    <row r="662" spans="1:12"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K662" s="4"/>
      <c r="L662" s="4"/>
    </row>
    <row r="663" spans="1:12"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K663" s="4"/>
      <c r="L663" s="4"/>
    </row>
    <row r="664" spans="1:12"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K664" s="4"/>
      <c r="L664" s="4"/>
    </row>
    <row r="665" spans="1:12"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K665" s="4"/>
      <c r="L665" s="4"/>
    </row>
    <row r="666" spans="1:12"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K666" s="4"/>
      <c r="L666" s="4"/>
    </row>
    <row r="667" spans="1:12"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K667" s="4"/>
      <c r="L667" s="4"/>
    </row>
    <row r="668" spans="1:12"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K668" s="4"/>
      <c r="L668" s="4"/>
    </row>
    <row r="669" spans="1:12"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K669" s="4"/>
      <c r="L669" s="4"/>
    </row>
    <row r="670" spans="1:12"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K670" s="4"/>
      <c r="L670" s="4"/>
    </row>
    <row r="671" spans="1:12"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K671" s="4"/>
      <c r="L671" s="4"/>
    </row>
    <row r="672" spans="1:12"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K672" s="4"/>
      <c r="L672" s="4"/>
    </row>
    <row r="673" spans="1:12"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K673" s="4"/>
      <c r="L673" s="4"/>
    </row>
    <row r="674" spans="1:12"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K674" s="4"/>
      <c r="L674" s="4"/>
    </row>
    <row r="675" spans="1:12"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K675" s="4"/>
      <c r="L675" s="4"/>
    </row>
    <row r="676" spans="1:12"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K676" s="4"/>
      <c r="L676" s="4"/>
    </row>
    <row r="677" spans="1:12"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K677" s="4"/>
      <c r="L677" s="4"/>
    </row>
    <row r="678" spans="1:12"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K678" s="4"/>
      <c r="L678" s="4"/>
    </row>
    <row r="679" spans="1:12"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K679" s="4"/>
      <c r="L679" s="4"/>
    </row>
    <row r="680" spans="1:12"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K680" s="4"/>
      <c r="L680" s="4"/>
    </row>
    <row r="681" spans="1:12"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K681" s="4"/>
      <c r="L681" s="4"/>
    </row>
    <row r="682" spans="1:12"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K682" s="4"/>
      <c r="L682" s="4"/>
    </row>
    <row r="683" spans="1:12"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K683" s="4"/>
      <c r="L683" s="4"/>
    </row>
    <row r="684" spans="1:12"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K684" s="4"/>
      <c r="L684" s="4"/>
    </row>
    <row r="685" spans="1:12"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K685" s="4"/>
      <c r="L685" s="4"/>
    </row>
    <row r="686" spans="1:12"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K686" s="4"/>
      <c r="L686" s="4"/>
    </row>
    <row r="687" spans="1:12"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K687" s="4"/>
      <c r="L687" s="4"/>
    </row>
    <row r="688" spans="1:12"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K688" s="4"/>
      <c r="L688" s="4"/>
    </row>
    <row r="689" spans="1:12"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K689" s="4"/>
      <c r="L689" s="4"/>
    </row>
    <row r="690" spans="1:12"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K690" s="4"/>
      <c r="L690" s="4"/>
    </row>
    <row r="691" spans="1:12"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K691" s="4"/>
      <c r="L691" s="4"/>
    </row>
    <row r="692" spans="1:12"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K692" s="4"/>
      <c r="L692" s="4"/>
    </row>
    <row r="693" spans="1:12"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K693" s="4"/>
      <c r="L693" s="4"/>
    </row>
    <row r="694" spans="1:12"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K694" s="4"/>
      <c r="L694" s="4"/>
    </row>
    <row r="695" spans="1:12"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K695" s="4"/>
      <c r="L695" s="4"/>
    </row>
    <row r="696" spans="1:12"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K696" s="4"/>
      <c r="L696" s="4"/>
    </row>
    <row r="697" spans="1:12"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K697" s="4"/>
      <c r="L697" s="4"/>
    </row>
    <row r="698" spans="1:12"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K698" s="4"/>
      <c r="L698" s="4"/>
    </row>
    <row r="699" spans="1:12"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K699" s="4"/>
      <c r="L699" s="4"/>
    </row>
    <row r="700" spans="1:12"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K700" s="4"/>
      <c r="L700" s="4"/>
    </row>
    <row r="701" spans="1:12"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K701" s="4"/>
      <c r="L701" s="4"/>
    </row>
    <row r="702" spans="1:12"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K702" s="4"/>
      <c r="L702" s="4"/>
    </row>
    <row r="703" spans="1:12"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K703" s="4"/>
      <c r="L703" s="4"/>
    </row>
    <row r="704" spans="1:12"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K704" s="4"/>
      <c r="L704" s="4"/>
    </row>
    <row r="705" spans="1:12"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K705" s="4"/>
      <c r="L705" s="4"/>
    </row>
    <row r="706" spans="1:12"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K706" s="4"/>
      <c r="L706" s="4"/>
    </row>
    <row r="707" spans="1:12"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K707" s="4"/>
      <c r="L707" s="4"/>
    </row>
    <row r="708" spans="1:12"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K708" s="4"/>
      <c r="L708" s="4"/>
    </row>
    <row r="709" spans="1:12"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K709" s="4"/>
      <c r="L709" s="4"/>
    </row>
    <row r="710" spans="1:12"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K710" s="4"/>
      <c r="L710" s="4"/>
    </row>
    <row r="711" spans="1:12"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K711" s="4"/>
      <c r="L711" s="4"/>
    </row>
    <row r="712" spans="1:12"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K712" s="4"/>
      <c r="L712" s="4"/>
    </row>
    <row r="713" spans="1:12"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K713" s="4"/>
      <c r="L713" s="4"/>
    </row>
    <row r="714" spans="1:12"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K714" s="4"/>
      <c r="L714" s="4"/>
    </row>
    <row r="715" spans="1:12"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K715" s="4"/>
      <c r="L715" s="4"/>
    </row>
    <row r="716" spans="1:12"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K716" s="4"/>
      <c r="L716" s="4"/>
    </row>
    <row r="717" spans="1:12"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K717" s="4"/>
      <c r="L717" s="4"/>
    </row>
    <row r="718" spans="1:12"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K718" s="4"/>
      <c r="L718" s="4"/>
    </row>
    <row r="719" spans="1:12"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K719" s="4"/>
      <c r="L719" s="4"/>
    </row>
    <row r="720" spans="1:12"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K720" s="4"/>
      <c r="L720" s="4"/>
    </row>
    <row r="721" spans="1:12"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K721" s="4"/>
      <c r="L721" s="4"/>
    </row>
    <row r="722" spans="1:12"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K722" s="4"/>
      <c r="L722" s="4"/>
    </row>
    <row r="723" spans="1:12"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K723" s="4"/>
      <c r="L723" s="4"/>
    </row>
    <row r="724" spans="1:12"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K724" s="4"/>
      <c r="L724" s="4"/>
    </row>
    <row r="725" spans="1:12"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K725" s="4"/>
      <c r="L725" s="4"/>
    </row>
    <row r="726" spans="1:12"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K726" s="4"/>
      <c r="L726" s="4"/>
    </row>
    <row r="727" spans="1:12"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K727" s="4"/>
      <c r="L727" s="4"/>
    </row>
    <row r="728" spans="1:12"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K728" s="4"/>
      <c r="L728" s="4"/>
    </row>
    <row r="729" spans="1:12"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K729" s="4"/>
      <c r="L729" s="4"/>
    </row>
    <row r="730" spans="1:12"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K730" s="4"/>
      <c r="L730" s="4"/>
    </row>
    <row r="731" spans="1:12"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K731" s="4"/>
      <c r="L731" s="4"/>
    </row>
    <row r="732" spans="1:12"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K732" s="4"/>
      <c r="L732" s="4"/>
    </row>
    <row r="733" spans="1:12"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K733" s="4"/>
      <c r="L733" s="4"/>
    </row>
    <row r="734" spans="1:12"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K734" s="4"/>
      <c r="L734" s="4"/>
    </row>
    <row r="735" spans="1:12"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K735" s="4"/>
      <c r="L735" s="4"/>
    </row>
    <row r="736" spans="1:12"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K736" s="4"/>
      <c r="L736" s="4"/>
    </row>
    <row r="737" spans="1:12"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K737" s="4"/>
      <c r="L737" s="4"/>
    </row>
    <row r="738" spans="1:12"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K738" s="4"/>
      <c r="L738" s="4"/>
    </row>
    <row r="739" spans="1:12"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K739" s="4"/>
      <c r="L739" s="4"/>
    </row>
    <row r="740" spans="1:12"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K740" s="4"/>
      <c r="L740" s="4"/>
    </row>
    <row r="741" spans="1:12"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K741" s="4"/>
      <c r="L741" s="4"/>
    </row>
    <row r="742" spans="1:12"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K742" s="4"/>
      <c r="L742" s="4"/>
    </row>
    <row r="743" spans="1:12"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K743" s="4"/>
      <c r="L743" s="4"/>
    </row>
    <row r="744" spans="1:12"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K744" s="4"/>
      <c r="L744" s="4"/>
    </row>
    <row r="745" spans="1:12"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K745" s="4"/>
      <c r="L745" s="4"/>
    </row>
    <row r="746" spans="1:12"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K746" s="4"/>
      <c r="L746" s="4"/>
    </row>
    <row r="747" spans="1:12"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K747" s="4"/>
      <c r="L747" s="4"/>
    </row>
    <row r="748" spans="1:12"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K748" s="4"/>
      <c r="L748" s="4"/>
    </row>
    <row r="749" spans="1:12"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K749" s="4"/>
      <c r="L749" s="4"/>
    </row>
    <row r="750" spans="1:12"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K750" s="4"/>
      <c r="L750" s="4"/>
    </row>
    <row r="751" spans="1:12"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K751" s="4"/>
      <c r="L751" s="4"/>
    </row>
    <row r="752" spans="1:12"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K752" s="4"/>
      <c r="L752" s="4"/>
    </row>
    <row r="753" spans="1:12"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K753" s="4"/>
      <c r="L753" s="4"/>
    </row>
    <row r="754" spans="1:12"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K754" s="4"/>
      <c r="L754" s="4"/>
    </row>
    <row r="755" spans="1:12"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K755" s="4"/>
      <c r="L755" s="4"/>
    </row>
    <row r="756" spans="1:12"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K756" s="4"/>
      <c r="L756" s="4"/>
    </row>
    <row r="757" spans="1:12"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K757" s="4"/>
      <c r="L757" s="4"/>
    </row>
    <row r="758" spans="1:12"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K758" s="4"/>
      <c r="L758" s="4"/>
    </row>
    <row r="759" spans="1:12"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K759" s="4"/>
      <c r="L759" s="4"/>
    </row>
    <row r="760" spans="1:12"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K760" s="4"/>
      <c r="L760" s="4"/>
    </row>
    <row r="761" spans="1:12"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K761" s="4"/>
      <c r="L761" s="4"/>
    </row>
    <row r="762" spans="1:12"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K762" s="4"/>
      <c r="L762" s="4"/>
    </row>
    <row r="763" spans="1:12"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K763" s="4"/>
      <c r="L763" s="4"/>
    </row>
    <row r="764" spans="1:12"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K764" s="4"/>
      <c r="L764" s="4"/>
    </row>
    <row r="765" spans="1:12"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K765" s="4"/>
      <c r="L765" s="4"/>
    </row>
    <row r="766" spans="1:12"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K766" s="4"/>
      <c r="L766" s="4"/>
    </row>
    <row r="767" spans="1:12"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K767" s="4"/>
      <c r="L767" s="4"/>
    </row>
    <row r="768" spans="1:12"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K768" s="4"/>
      <c r="L768" s="4"/>
    </row>
    <row r="769" spans="1:12"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K769" s="4"/>
      <c r="L769" s="4"/>
    </row>
    <row r="770" spans="1:12"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K770" s="4"/>
      <c r="L770" s="4"/>
    </row>
    <row r="771" spans="1:12"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K771" s="4"/>
      <c r="L771" s="4"/>
    </row>
    <row r="772" spans="1:12"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K772" s="4"/>
      <c r="L772" s="4"/>
    </row>
    <row r="773" spans="1:12"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K773" s="4"/>
      <c r="L773" s="4"/>
    </row>
    <row r="774" spans="1:12"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K774" s="4"/>
      <c r="L774" s="4"/>
    </row>
    <row r="775" spans="1:12"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K775" s="4"/>
      <c r="L775" s="4"/>
    </row>
    <row r="776" spans="1:12"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K776" s="4"/>
      <c r="L776" s="4"/>
    </row>
    <row r="777" spans="1:12"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K777" s="4"/>
      <c r="L777" s="4"/>
    </row>
    <row r="778" spans="1:12"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K778" s="4"/>
      <c r="L778" s="4"/>
    </row>
    <row r="779" spans="1:12"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K779" s="4"/>
      <c r="L779" s="4"/>
    </row>
    <row r="780" spans="1:12"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K780" s="4"/>
      <c r="L780" s="4"/>
    </row>
    <row r="781" spans="1:12"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K781" s="4"/>
      <c r="L781" s="4"/>
    </row>
    <row r="782" spans="1:12"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K782" s="4"/>
      <c r="L782" s="4"/>
    </row>
    <row r="783" spans="1:12"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K783" s="4"/>
      <c r="L783" s="4"/>
    </row>
    <row r="784" spans="1:12"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K784" s="4"/>
      <c r="L784" s="4"/>
    </row>
    <row r="785" spans="1:12"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K785" s="4"/>
      <c r="L785" s="4"/>
    </row>
    <row r="786" spans="1:12"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K786" s="4"/>
      <c r="L786" s="4"/>
    </row>
    <row r="787" spans="1:12"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K787" s="4"/>
      <c r="L787" s="4"/>
    </row>
    <row r="788" spans="1:12"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K788" s="4"/>
      <c r="L788" s="4"/>
    </row>
    <row r="789" spans="1:12"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K789" s="4"/>
      <c r="L789" s="4"/>
    </row>
    <row r="790" spans="1:12"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K790" s="4"/>
      <c r="L790" s="4"/>
    </row>
    <row r="791" spans="1:12"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K791" s="4"/>
      <c r="L791" s="4"/>
    </row>
    <row r="792" spans="1:12"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K792" s="4"/>
      <c r="L792" s="4"/>
    </row>
    <row r="793" spans="1:12"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K793" s="4"/>
      <c r="L793" s="4"/>
    </row>
    <row r="794" spans="1:12"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K794" s="4"/>
      <c r="L794" s="4"/>
    </row>
    <row r="795" spans="1:12"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K795" s="4"/>
      <c r="L795" s="4"/>
    </row>
    <row r="796" spans="1:12"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K796" s="4"/>
      <c r="L796" s="4"/>
    </row>
    <row r="797" spans="1:12"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K797" s="4"/>
      <c r="L797" s="4"/>
    </row>
    <row r="798" spans="1:12"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K798" s="4"/>
      <c r="L798" s="4"/>
    </row>
    <row r="799" spans="1:12"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K799" s="4"/>
      <c r="L799" s="4"/>
    </row>
    <row r="800" spans="1:12"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K800" s="4"/>
      <c r="L800" s="4"/>
    </row>
    <row r="801" spans="1:12"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K801" s="4"/>
      <c r="L801" s="4"/>
    </row>
    <row r="802" spans="1:12"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K802" s="4"/>
      <c r="L802" s="4"/>
    </row>
    <row r="803" spans="1:12"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K803" s="4"/>
      <c r="L803" s="4"/>
    </row>
    <row r="804" spans="1:12"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K804" s="4"/>
      <c r="L804" s="4"/>
    </row>
    <row r="805" spans="1:12"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K805" s="4"/>
      <c r="L805" s="4"/>
    </row>
    <row r="806" spans="1:12"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K806" s="4"/>
      <c r="L806" s="4"/>
    </row>
    <row r="807" spans="1:12"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K807" s="4"/>
      <c r="L807" s="4"/>
    </row>
    <row r="808" spans="1:12"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K808" s="4"/>
      <c r="L808" s="4"/>
    </row>
    <row r="809" spans="1:12"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K809" s="4"/>
      <c r="L809" s="4"/>
    </row>
    <row r="810" spans="1:12"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K810" s="4"/>
      <c r="L810" s="4"/>
    </row>
    <row r="811" spans="1:12"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K811" s="4"/>
      <c r="L811" s="4"/>
    </row>
    <row r="812" spans="1:12"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K812" s="4"/>
      <c r="L812" s="4"/>
    </row>
    <row r="813" spans="1:12"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K813" s="4"/>
      <c r="L813" s="4"/>
    </row>
    <row r="814" spans="1:12"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K814" s="4"/>
      <c r="L814" s="4"/>
    </row>
    <row r="815" spans="1:12"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K815" s="4"/>
      <c r="L815" s="4"/>
    </row>
    <row r="816" spans="1:12"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K816" s="4"/>
      <c r="L816" s="4"/>
    </row>
    <row r="817" spans="1:12"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K817" s="4"/>
      <c r="L817" s="4"/>
    </row>
    <row r="818" spans="1:12"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K818" s="4"/>
      <c r="L818" s="4"/>
    </row>
    <row r="819" spans="1:12"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K819" s="4"/>
      <c r="L819" s="4"/>
    </row>
    <row r="820" spans="1:12"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K820" s="4"/>
      <c r="L820" s="4"/>
    </row>
    <row r="821" spans="1:12"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K821" s="4"/>
      <c r="L821" s="4"/>
    </row>
    <row r="822" spans="1:12"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K822" s="4"/>
      <c r="L822" s="4"/>
    </row>
    <row r="823" spans="1:12"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K823" s="4"/>
      <c r="L823" s="4"/>
    </row>
    <row r="824" spans="1:12"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K824" s="4"/>
      <c r="L824" s="4"/>
    </row>
    <row r="825" spans="1:12"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K825" s="4"/>
      <c r="L825" s="4"/>
    </row>
    <row r="826" spans="1:12"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K826" s="4"/>
      <c r="L826" s="4"/>
    </row>
    <row r="827" spans="1:12"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K827" s="4"/>
      <c r="L827" s="4"/>
    </row>
    <row r="828" spans="1:12"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K828" s="4"/>
      <c r="L828" s="4"/>
    </row>
    <row r="829" spans="1:12"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K829" s="4"/>
      <c r="L829" s="4"/>
    </row>
    <row r="830" spans="1:12"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K830" s="4"/>
      <c r="L830" s="4"/>
    </row>
    <row r="831" spans="1:12"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K831" s="4"/>
      <c r="L831" s="4"/>
    </row>
    <row r="832" spans="1:12"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K832" s="4"/>
      <c r="L832" s="4"/>
    </row>
    <row r="833" spans="1:12"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K833" s="4"/>
      <c r="L833" s="4"/>
    </row>
    <row r="834" spans="1:12"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K834" s="4"/>
      <c r="L834" s="4"/>
    </row>
    <row r="835" spans="1:12"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K835" s="4"/>
      <c r="L835" s="4"/>
    </row>
    <row r="836" spans="1:12"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K836" s="4"/>
      <c r="L836" s="4"/>
    </row>
    <row r="837" spans="1:12"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K837" s="4"/>
      <c r="L837" s="4"/>
    </row>
    <row r="838" spans="1:12"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K838" s="4"/>
      <c r="L838" s="4"/>
    </row>
    <row r="839" spans="1:12"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K839" s="4"/>
      <c r="L839" s="4"/>
    </row>
    <row r="840" spans="1:12"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K840" s="4"/>
      <c r="L840" s="4"/>
    </row>
    <row r="841" spans="1:12"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K841" s="4"/>
      <c r="L841"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52</v>
      </c>
      <c r="B1" s="1" t="s">
        <v>3</v>
      </c>
      <c r="C1" s="1" t="s">
        <v>53</v>
      </c>
    </row>
    <row r="2" spans="1:3" x14ac:dyDescent="0.25">
      <c r="A2">
        <v>1</v>
      </c>
      <c r="B2" t="s">
        <v>54</v>
      </c>
      <c r="C2" t="str">
        <f>SUBSTITUTE(SUBSTITUTE(SUBSTITUTE(SUBSTITUTE(SUBSTITUTE(SUBSTITUTE(SUBSTITUTE(SUBSTITUTE(SUBSTITUTE(SUBSTITUTE(B2,"á","a"),"é","e"),"í","i"),"ó","o"),"ú","u"),"Á","A"),"É","E"),"Í","I"),"Ó","O"),"Ú","U")</f>
        <v>Genesis</v>
      </c>
    </row>
    <row r="3" spans="1:3" x14ac:dyDescent="0.25">
      <c r="A3">
        <v>2</v>
      </c>
      <c r="B3" t="s">
        <v>55</v>
      </c>
      <c r="C3" t="str">
        <f t="shared" ref="C3:C67" si="0">SUBSTITUTE(SUBSTITUTE(SUBSTITUTE(SUBSTITUTE(SUBSTITUTE(SUBSTITUTE(SUBSTITUTE(SUBSTITUTE(SUBSTITUTE(SUBSTITUTE(B3,"á","a"),"é","e"),"í","i"),"ó","o"),"ú","u"),"Á","A"),"É","E"),"Í","I"),"Ó","O"),"Ú","U")</f>
        <v>Exodo</v>
      </c>
    </row>
    <row r="4" spans="1:3" x14ac:dyDescent="0.25">
      <c r="A4">
        <v>3</v>
      </c>
      <c r="B4" t="s">
        <v>56</v>
      </c>
      <c r="C4" t="str">
        <f t="shared" si="0"/>
        <v>Levitico</v>
      </c>
    </row>
    <row r="5" spans="1:3" x14ac:dyDescent="0.25">
      <c r="A5">
        <v>4</v>
      </c>
      <c r="B5" t="s">
        <v>57</v>
      </c>
      <c r="C5" t="str">
        <f t="shared" si="0"/>
        <v>Numeros</v>
      </c>
    </row>
    <row r="6" spans="1:3" x14ac:dyDescent="0.25">
      <c r="A6">
        <v>5</v>
      </c>
      <c r="B6" t="s">
        <v>58</v>
      </c>
      <c r="C6" t="str">
        <f t="shared" si="0"/>
        <v>Deuteronomio</v>
      </c>
    </row>
    <row r="7" spans="1:3" x14ac:dyDescent="0.25">
      <c r="A7">
        <v>6</v>
      </c>
      <c r="B7" t="s">
        <v>59</v>
      </c>
      <c r="C7" t="str">
        <f t="shared" si="0"/>
        <v>Josue</v>
      </c>
    </row>
    <row r="8" spans="1:3" x14ac:dyDescent="0.25">
      <c r="A8">
        <v>7</v>
      </c>
      <c r="B8" t="s">
        <v>60</v>
      </c>
      <c r="C8" t="str">
        <f t="shared" si="0"/>
        <v>Jueces</v>
      </c>
    </row>
    <row r="9" spans="1:3" x14ac:dyDescent="0.25">
      <c r="A9">
        <v>8</v>
      </c>
      <c r="B9" t="s">
        <v>61</v>
      </c>
      <c r="C9" t="str">
        <f t="shared" si="0"/>
        <v>Rut</v>
      </c>
    </row>
    <row r="10" spans="1:3" x14ac:dyDescent="0.25">
      <c r="A10">
        <v>9</v>
      </c>
      <c r="B10" t="s">
        <v>62</v>
      </c>
      <c r="C10" t="str">
        <f t="shared" si="0"/>
        <v>1 Samuel</v>
      </c>
    </row>
    <row r="11" spans="1:3" x14ac:dyDescent="0.25">
      <c r="A11">
        <v>10</v>
      </c>
      <c r="B11" t="s">
        <v>63</v>
      </c>
      <c r="C11" t="str">
        <f t="shared" si="0"/>
        <v>2 Samuel</v>
      </c>
    </row>
    <row r="12" spans="1:3" x14ac:dyDescent="0.25">
      <c r="A12">
        <v>11</v>
      </c>
      <c r="B12" t="s">
        <v>64</v>
      </c>
      <c r="C12" t="str">
        <f t="shared" si="0"/>
        <v>1 Reyes</v>
      </c>
    </row>
    <row r="13" spans="1:3" x14ac:dyDescent="0.25">
      <c r="A13">
        <v>12</v>
      </c>
      <c r="B13" t="s">
        <v>65</v>
      </c>
      <c r="C13" t="str">
        <f t="shared" si="0"/>
        <v>2 Reyes</v>
      </c>
    </row>
    <row r="14" spans="1:3" x14ac:dyDescent="0.25">
      <c r="A14">
        <v>13</v>
      </c>
      <c r="B14" t="s">
        <v>66</v>
      </c>
      <c r="C14" t="str">
        <f t="shared" si="0"/>
        <v>1 Cronicas</v>
      </c>
    </row>
    <row r="15" spans="1:3" x14ac:dyDescent="0.25">
      <c r="A15">
        <v>14</v>
      </c>
      <c r="B15" t="s">
        <v>67</v>
      </c>
      <c r="C15" t="str">
        <f t="shared" si="0"/>
        <v>2 Cronicas</v>
      </c>
    </row>
    <row r="16" spans="1:3" x14ac:dyDescent="0.25">
      <c r="A16">
        <v>15</v>
      </c>
      <c r="B16" t="s">
        <v>68</v>
      </c>
      <c r="C16" t="str">
        <f t="shared" si="0"/>
        <v>Esdras</v>
      </c>
    </row>
    <row r="17" spans="1:3" x14ac:dyDescent="0.25">
      <c r="A17">
        <v>16</v>
      </c>
      <c r="B17" t="s">
        <v>69</v>
      </c>
      <c r="C17" t="str">
        <f t="shared" si="0"/>
        <v>Nehemias</v>
      </c>
    </row>
    <row r="18" spans="1:3" x14ac:dyDescent="0.25">
      <c r="A18">
        <v>17</v>
      </c>
      <c r="B18" t="s">
        <v>70</v>
      </c>
      <c r="C18" t="str">
        <f t="shared" si="0"/>
        <v>Ester</v>
      </c>
    </row>
    <row r="19" spans="1:3" x14ac:dyDescent="0.25">
      <c r="A19">
        <v>18</v>
      </c>
      <c r="B19" t="s">
        <v>48</v>
      </c>
      <c r="C19" t="str">
        <f t="shared" si="0"/>
        <v>Job</v>
      </c>
    </row>
    <row r="20" spans="1:3" x14ac:dyDescent="0.25">
      <c r="A20">
        <v>19</v>
      </c>
      <c r="B20" t="s">
        <v>71</v>
      </c>
      <c r="C20" t="str">
        <f t="shared" si="0"/>
        <v>Salmos</v>
      </c>
    </row>
    <row r="21" spans="1:3" x14ac:dyDescent="0.25">
      <c r="A21">
        <v>20</v>
      </c>
      <c r="B21" t="s">
        <v>72</v>
      </c>
      <c r="C21" t="str">
        <f t="shared" si="0"/>
        <v>Proverbios</v>
      </c>
    </row>
    <row r="22" spans="1:3" x14ac:dyDescent="0.25">
      <c r="A22">
        <v>21</v>
      </c>
      <c r="B22" t="s">
        <v>73</v>
      </c>
      <c r="C22" t="str">
        <f t="shared" si="0"/>
        <v>Eclesiastes</v>
      </c>
    </row>
    <row r="23" spans="1:3" x14ac:dyDescent="0.25">
      <c r="A23">
        <v>22</v>
      </c>
      <c r="B23" t="s">
        <v>74</v>
      </c>
      <c r="C23" t="str">
        <f t="shared" si="0"/>
        <v>Cantares</v>
      </c>
    </row>
    <row r="24" spans="1:3" x14ac:dyDescent="0.25">
      <c r="A24">
        <v>23</v>
      </c>
      <c r="B24" t="s">
        <v>75</v>
      </c>
      <c r="C24" t="str">
        <f t="shared" si="0"/>
        <v>Isaias</v>
      </c>
    </row>
    <row r="25" spans="1:3" x14ac:dyDescent="0.25">
      <c r="A25">
        <v>24</v>
      </c>
      <c r="B25" t="s">
        <v>76</v>
      </c>
      <c r="C25" t="str">
        <f t="shared" si="0"/>
        <v>Jeremias</v>
      </c>
    </row>
    <row r="26" spans="1:3" x14ac:dyDescent="0.25">
      <c r="A26">
        <v>25</v>
      </c>
      <c r="B26" t="s">
        <v>77</v>
      </c>
      <c r="C26" t="str">
        <f t="shared" si="0"/>
        <v>Lamentaciones</v>
      </c>
    </row>
    <row r="27" spans="1:3" x14ac:dyDescent="0.25">
      <c r="A27">
        <v>26</v>
      </c>
      <c r="B27" t="s">
        <v>78</v>
      </c>
      <c r="C27" t="str">
        <f t="shared" si="0"/>
        <v>Ezequiel</v>
      </c>
    </row>
    <row r="28" spans="1:3" x14ac:dyDescent="0.25">
      <c r="A28">
        <v>27</v>
      </c>
      <c r="B28" t="s">
        <v>79</v>
      </c>
      <c r="C28" t="str">
        <f t="shared" si="0"/>
        <v>Daniel</v>
      </c>
    </row>
    <row r="29" spans="1:3" x14ac:dyDescent="0.25">
      <c r="A29">
        <v>28</v>
      </c>
      <c r="B29" t="s">
        <v>80</v>
      </c>
      <c r="C29" t="str">
        <f t="shared" si="0"/>
        <v>Oseas</v>
      </c>
    </row>
    <row r="30" spans="1:3" x14ac:dyDescent="0.25">
      <c r="A30">
        <v>29</v>
      </c>
      <c r="B30" t="s">
        <v>81</v>
      </c>
      <c r="C30" t="str">
        <f t="shared" si="0"/>
        <v>Joel</v>
      </c>
    </row>
    <row r="31" spans="1:3" x14ac:dyDescent="0.25">
      <c r="A31">
        <v>30</v>
      </c>
      <c r="B31" t="s">
        <v>82</v>
      </c>
      <c r="C31" t="str">
        <f t="shared" si="0"/>
        <v>Amos</v>
      </c>
    </row>
    <row r="32" spans="1:3" x14ac:dyDescent="0.25">
      <c r="A32">
        <v>31</v>
      </c>
      <c r="B32" t="s">
        <v>83</v>
      </c>
      <c r="C32" t="str">
        <f t="shared" si="0"/>
        <v>Abdias</v>
      </c>
    </row>
    <row r="33" spans="1:3" x14ac:dyDescent="0.25">
      <c r="A33">
        <v>32</v>
      </c>
      <c r="B33" t="s">
        <v>84</v>
      </c>
      <c r="C33" t="str">
        <f t="shared" si="0"/>
        <v>Jonas</v>
      </c>
    </row>
    <row r="34" spans="1:3" x14ac:dyDescent="0.25">
      <c r="A34">
        <v>33</v>
      </c>
      <c r="B34" t="s">
        <v>85</v>
      </c>
      <c r="C34" t="str">
        <f t="shared" si="0"/>
        <v>Miqueas</v>
      </c>
    </row>
    <row r="35" spans="1:3" x14ac:dyDescent="0.25">
      <c r="A35">
        <v>34</v>
      </c>
      <c r="B35" t="s">
        <v>86</v>
      </c>
      <c r="C35" t="str">
        <f t="shared" si="0"/>
        <v>Nahum</v>
      </c>
    </row>
    <row r="36" spans="1:3" x14ac:dyDescent="0.25">
      <c r="A36">
        <v>35</v>
      </c>
      <c r="B36" t="s">
        <v>87</v>
      </c>
      <c r="C36" t="str">
        <f t="shared" si="0"/>
        <v>Habacuc</v>
      </c>
    </row>
    <row r="37" spans="1:3" x14ac:dyDescent="0.25">
      <c r="A37">
        <v>36</v>
      </c>
      <c r="B37" t="s">
        <v>88</v>
      </c>
      <c r="C37" t="str">
        <f t="shared" si="0"/>
        <v>Sofonias</v>
      </c>
    </row>
    <row r="38" spans="1:3" x14ac:dyDescent="0.25">
      <c r="A38">
        <v>37</v>
      </c>
      <c r="B38" t="s">
        <v>89</v>
      </c>
      <c r="C38" t="str">
        <f t="shared" si="0"/>
        <v>Hageo</v>
      </c>
    </row>
    <row r="39" spans="1:3" x14ac:dyDescent="0.25">
      <c r="A39">
        <v>38</v>
      </c>
      <c r="B39" t="s">
        <v>90</v>
      </c>
      <c r="C39" t="str">
        <f t="shared" si="0"/>
        <v>Zacarias</v>
      </c>
    </row>
    <row r="40" spans="1:3" x14ac:dyDescent="0.25">
      <c r="A40">
        <v>39</v>
      </c>
      <c r="B40" t="s">
        <v>304</v>
      </c>
      <c r="C40" t="str">
        <f>SUBSTITUTE(SUBSTITUTE(SUBSTITUTE(SUBSTITUTE(SUBSTITUTE(SUBSTITUTE(SUBSTITUTE(SUBSTITUTE(SUBSTITUTE(SUBSTITUTE(B40,"á","a"),"é","e"),"í","i"),"ó","o"),"ú","u"),"Á","A"),"É","E"),"Í","I"),"Ó","O"),"Ú","U")</f>
        <v>Malaquias</v>
      </c>
    </row>
    <row r="41" spans="1:3" x14ac:dyDescent="0.25">
      <c r="A41">
        <v>40</v>
      </c>
      <c r="B41" t="s">
        <v>50</v>
      </c>
      <c r="C41" t="str">
        <f t="shared" si="0"/>
        <v>Mateo</v>
      </c>
    </row>
    <row r="42" spans="1:3" x14ac:dyDescent="0.25">
      <c r="A42">
        <v>41</v>
      </c>
      <c r="B42" t="s">
        <v>30</v>
      </c>
      <c r="C42" t="str">
        <f t="shared" si="0"/>
        <v>Marcos</v>
      </c>
    </row>
    <row r="43" spans="1:3" x14ac:dyDescent="0.25">
      <c r="A43">
        <v>42</v>
      </c>
      <c r="B43" t="s">
        <v>33</v>
      </c>
      <c r="C43" t="str">
        <f t="shared" si="0"/>
        <v>Lucas</v>
      </c>
    </row>
    <row r="44" spans="1:3" x14ac:dyDescent="0.25">
      <c r="A44">
        <v>43</v>
      </c>
      <c r="B44" t="s">
        <v>91</v>
      </c>
      <c r="C44" t="str">
        <f t="shared" si="0"/>
        <v>Juan</v>
      </c>
    </row>
    <row r="45" spans="1:3" x14ac:dyDescent="0.25">
      <c r="A45">
        <v>44</v>
      </c>
      <c r="B45" t="s">
        <v>13</v>
      </c>
      <c r="C45" t="str">
        <f t="shared" si="0"/>
        <v>Hechos</v>
      </c>
    </row>
    <row r="46" spans="1:3" x14ac:dyDescent="0.25">
      <c r="A46">
        <v>45</v>
      </c>
      <c r="B46" t="s">
        <v>92</v>
      </c>
      <c r="C46" t="str">
        <f t="shared" si="0"/>
        <v>Romanos</v>
      </c>
    </row>
    <row r="47" spans="1:3" x14ac:dyDescent="0.25">
      <c r="A47">
        <v>46</v>
      </c>
      <c r="B47" t="s">
        <v>15</v>
      </c>
      <c r="C47" t="str">
        <f t="shared" si="0"/>
        <v>1 Corintios</v>
      </c>
    </row>
    <row r="48" spans="1:3" x14ac:dyDescent="0.25">
      <c r="A48">
        <v>47</v>
      </c>
      <c r="B48" t="s">
        <v>36</v>
      </c>
      <c r="C48" t="str">
        <f t="shared" si="0"/>
        <v>2 Corintios</v>
      </c>
    </row>
    <row r="49" spans="1:3" x14ac:dyDescent="0.25">
      <c r="A49">
        <v>48</v>
      </c>
      <c r="B49" t="s">
        <v>93</v>
      </c>
      <c r="C49" t="str">
        <f t="shared" si="0"/>
        <v>Galatas</v>
      </c>
    </row>
    <row r="50" spans="1:3" x14ac:dyDescent="0.25">
      <c r="A50">
        <v>49</v>
      </c>
      <c r="B50" t="s">
        <v>39</v>
      </c>
      <c r="C50" t="str">
        <f t="shared" si="0"/>
        <v>Efesios</v>
      </c>
    </row>
    <row r="51" spans="1:3" x14ac:dyDescent="0.25">
      <c r="A51">
        <v>50</v>
      </c>
      <c r="B51" t="s">
        <v>20</v>
      </c>
      <c r="C51" t="str">
        <f t="shared" si="0"/>
        <v>Filipenses</v>
      </c>
    </row>
    <row r="52" spans="1:3" x14ac:dyDescent="0.25">
      <c r="A52">
        <v>51</v>
      </c>
      <c r="B52" t="s">
        <v>94</v>
      </c>
      <c r="C52" t="str">
        <f t="shared" si="0"/>
        <v>Colosenses</v>
      </c>
    </row>
    <row r="53" spans="1:3" x14ac:dyDescent="0.25">
      <c r="A53">
        <v>52</v>
      </c>
      <c r="B53" t="s">
        <v>95</v>
      </c>
      <c r="C53" t="str">
        <f t="shared" si="0"/>
        <v>1 Tesalonicenses</v>
      </c>
    </row>
    <row r="54" spans="1:3" x14ac:dyDescent="0.25">
      <c r="A54">
        <v>53</v>
      </c>
      <c r="B54" t="s">
        <v>40</v>
      </c>
      <c r="C54" t="str">
        <f t="shared" si="0"/>
        <v>2 Tesalonicenses</v>
      </c>
    </row>
    <row r="55" spans="1:3" x14ac:dyDescent="0.25">
      <c r="A55">
        <v>54</v>
      </c>
      <c r="B55" t="s">
        <v>96</v>
      </c>
      <c r="C55" t="str">
        <f t="shared" si="0"/>
        <v>1 Timoteo</v>
      </c>
    </row>
    <row r="56" spans="1:3" x14ac:dyDescent="0.25">
      <c r="A56">
        <v>55</v>
      </c>
      <c r="B56" t="s">
        <v>23</v>
      </c>
      <c r="C56" t="str">
        <f t="shared" si="0"/>
        <v>2 Timoteo</v>
      </c>
    </row>
    <row r="57" spans="1:3" x14ac:dyDescent="0.25">
      <c r="A57">
        <v>56</v>
      </c>
      <c r="B57" t="s">
        <v>97</v>
      </c>
      <c r="C57" t="str">
        <f t="shared" si="0"/>
        <v>Tito</v>
      </c>
    </row>
    <row r="58" spans="1:3" x14ac:dyDescent="0.25">
      <c r="A58">
        <v>57</v>
      </c>
      <c r="B58" t="s">
        <v>98</v>
      </c>
      <c r="C58" t="str">
        <f t="shared" si="0"/>
        <v>Filemon</v>
      </c>
    </row>
    <row r="59" spans="1:3" x14ac:dyDescent="0.25">
      <c r="A59">
        <v>58</v>
      </c>
      <c r="B59" t="s">
        <v>27</v>
      </c>
      <c r="C59" t="str">
        <f t="shared" si="0"/>
        <v>Hebreos</v>
      </c>
    </row>
    <row r="60" spans="1:3" x14ac:dyDescent="0.25">
      <c r="A60">
        <v>59</v>
      </c>
      <c r="B60" t="s">
        <v>99</v>
      </c>
      <c r="C60" t="str">
        <f t="shared" si="0"/>
        <v>Santiago</v>
      </c>
    </row>
    <row r="61" spans="1:3" x14ac:dyDescent="0.25">
      <c r="A61">
        <v>60</v>
      </c>
      <c r="B61" t="s">
        <v>100</v>
      </c>
      <c r="C61" t="str">
        <f t="shared" si="0"/>
        <v>1 Pedro</v>
      </c>
    </row>
    <row r="62" spans="1:3" x14ac:dyDescent="0.25">
      <c r="A62">
        <v>61</v>
      </c>
      <c r="B62" t="s">
        <v>101</v>
      </c>
      <c r="C62" t="str">
        <f t="shared" si="0"/>
        <v>2 Pedro</v>
      </c>
    </row>
    <row r="63" spans="1:3" x14ac:dyDescent="0.25">
      <c r="A63">
        <v>62</v>
      </c>
      <c r="B63" t="s">
        <v>102</v>
      </c>
      <c r="C63" t="str">
        <f t="shared" si="0"/>
        <v>1 Juan</v>
      </c>
    </row>
    <row r="64" spans="1:3" x14ac:dyDescent="0.25">
      <c r="A64">
        <v>63</v>
      </c>
      <c r="B64" t="s">
        <v>103</v>
      </c>
      <c r="C64" t="str">
        <f t="shared" si="0"/>
        <v>2 Juan</v>
      </c>
    </row>
    <row r="65" spans="1:3" x14ac:dyDescent="0.25">
      <c r="A65">
        <v>64</v>
      </c>
      <c r="B65" t="s">
        <v>104</v>
      </c>
      <c r="C65" t="str">
        <f t="shared" si="0"/>
        <v>3 Juan</v>
      </c>
    </row>
    <row r="66" spans="1:3" x14ac:dyDescent="0.25">
      <c r="A66">
        <v>65</v>
      </c>
      <c r="B66" t="s">
        <v>105</v>
      </c>
      <c r="C66" t="str">
        <f t="shared" si="0"/>
        <v>Judas</v>
      </c>
    </row>
    <row r="67" spans="1:3" x14ac:dyDescent="0.25">
      <c r="A67">
        <v>66</v>
      </c>
      <c r="B67" t="s">
        <v>42</v>
      </c>
      <c r="C67" t="str">
        <f t="shared" si="0"/>
        <v>Apocalipsis</v>
      </c>
    </row>
    <row r="68" spans="1:3" x14ac:dyDescent="0.25">
      <c r="A68" t="s">
        <v>106</v>
      </c>
      <c r="B68" t="s">
        <v>107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2026-07-22T12:03:30Z</dcterms:modified>
  <cp:category/>
  <cp:contentStatus/>
</cp:coreProperties>
</file>